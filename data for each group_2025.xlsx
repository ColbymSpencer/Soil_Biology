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junwei_hu_ugent_be/Documents/桌面/GENT RESEARCHT/appied soil biology/2024 soil biology/practical materials/"/>
    </mc:Choice>
  </mc:AlternateContent>
  <xr:revisionPtr revIDLastSave="480" documentId="11_F25DC773A252ABDACC1048D3A19D695C5ADE58EA" xr6:coauthVersionLast="47" xr6:coauthVersionMax="47" xr10:uidLastSave="{98C86D87-14A7-4A59-A0CE-492F560C6159}"/>
  <bookViews>
    <workbookView xWindow="-16200" yWindow="-13068" windowWidth="23256" windowHeight="12456" firstSheet="1" activeTab="2" xr2:uid="{00000000-000D-0000-FFFF-FFFF00000000}"/>
  </bookViews>
  <sheets>
    <sheet name="data" sheetId="1" r:id="rId1"/>
    <sheet name="group" sheetId="2" r:id="rId2"/>
    <sheet name="Raw Data Reformatt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3" i="1"/>
  <c r="K18" i="1"/>
  <c r="K19" i="1"/>
  <c r="K20" i="1"/>
  <c r="K21" i="1"/>
  <c r="K22" i="1"/>
  <c r="K23" i="1"/>
  <c r="K24" i="1"/>
  <c r="K2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M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tc={4A4385A5-9DC7-4CEE-A54E-C0177ED86BA7}</author>
    <author>tc={09B190DD-9E36-4ED6-B5AD-06587E5879C5}</author>
    <author>tc={4EB5863E-0C5D-4836-85CC-97E97B7CC0BE}</author>
  </authors>
  <commentList>
    <comment ref="L2" authorId="0" shapeId="0" xr:uid="{4A4385A5-9DC7-4CEE-A54E-C0177ED86BA7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shouldnt it be m^3?</t>
      </text>
    </comment>
    <comment ref="S2" authorId="1" shapeId="0" xr:uid="{09B190DD-9E36-4ED6-B5AD-06587E5879C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soil core is 5cm diameter and 5cm depth</t>
      </text>
    </comment>
    <comment ref="AK2" authorId="2" shapeId="0" xr:uid="{4EB5863E-0C5D-4836-85CC-97E97B7CC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protocol
Reply:
    Practical 2/3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tc={5F75FB8B-FAEF-40E0-9FE5-463021C6A2AD}</author>
    <author>tc={A9C199A3-A269-44F2-93A5-2FF8E34BDA83}</author>
    <author>tc={6226B021-851D-4AA5-A6DD-C2CE5C268F52}</author>
  </authors>
  <commentList>
    <comment ref="L2" authorId="0" shapeId="0" xr:uid="{5F75FB8B-FAEF-40E0-9FE5-463021C6A2AD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shouldnt it be m^3?</t>
      </text>
    </comment>
    <comment ref="S2" authorId="1" shapeId="0" xr:uid="{A9C199A3-A269-44F2-93A5-2FF8E34BDA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soil core is 5cm diameter and 5cm depth</t>
      </text>
    </comment>
    <comment ref="AK2" authorId="2" shapeId="0" xr:uid="{6226B021-851D-4AA5-A6DD-C2CE5C268F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protocol
Reply:
    Practical 2/3 </t>
      </text>
    </comment>
  </commentList>
</comments>
</file>

<file path=xl/sharedStrings.xml><?xml version="1.0" encoding="utf-8"?>
<sst xmlns="http://schemas.openxmlformats.org/spreadsheetml/2006/main" count="223" uniqueCount="93">
  <si>
    <t>plot</t>
  </si>
  <si>
    <t>land use</t>
  </si>
  <si>
    <t>year</t>
  </si>
  <si>
    <t>Basic soil properties</t>
  </si>
  <si>
    <t>earthworm number (extracted from a area of 0.12 m2 and a depth of 20 cm)</t>
  </si>
  <si>
    <t>underpant decomposition</t>
  </si>
  <si>
    <t>microarthropods (extracted from a soil core with a diameter of 5 cm)</t>
  </si>
  <si>
    <t>enzyme activity</t>
  </si>
  <si>
    <t>nematodes (extracted from 50 g fresh soil)</t>
  </si>
  <si>
    <t>microbial biomass carbon (extracted from 50 g fresh soil)</t>
  </si>
  <si>
    <t>total C %</t>
  </si>
  <si>
    <t>total N %</t>
  </si>
  <si>
    <t>total N (mg/kg)</t>
  </si>
  <si>
    <t>pH (KCl)</t>
  </si>
  <si>
    <t>Grametric moisture content</t>
  </si>
  <si>
    <t>Grametric moisture content (%)</t>
  </si>
  <si>
    <t>bulk density g/(soil core with a diameter and a depth of 5 cm)</t>
  </si>
  <si>
    <t>bulk density g/cm3</t>
  </si>
  <si>
    <t>earthworm number (individuals/0.12 m2)</t>
  </si>
  <si>
    <t>Earthworm Density (ind./m2)</t>
  </si>
  <si>
    <t>earthworm fresh weight (g/ 0.12m2)</t>
  </si>
  <si>
    <t>Earthworm Density (g / m2)</t>
  </si>
  <si>
    <t>material loss after 34 days (%)</t>
  </si>
  <si>
    <t>decompostion constant k (d-1)</t>
  </si>
  <si>
    <t>total microarthropods (individuals per soil core)</t>
  </si>
  <si>
    <t>total microarthropods (ind/m2)</t>
  </si>
  <si>
    <t>mites (individuals per soil core)</t>
  </si>
  <si>
    <t>mites (ind/m2)</t>
  </si>
  <si>
    <t>springtails (individuals per soil core)</t>
  </si>
  <si>
    <t>springtails (ind/m2)</t>
  </si>
  <si>
    <t>other microarthropods (individuals per soil core)</t>
  </si>
  <si>
    <t>other microarthropods (ind/m2)</t>
  </si>
  <si>
    <t>p-nitrophenol produced µg/g fresh soil per hour</t>
  </si>
  <si>
    <t xml:space="preserve"> µg PNP/g dry soil per hour</t>
  </si>
  <si>
    <t>nematodes (individuals from 50 g fresh soil)</t>
  </si>
  <si>
    <t>nematodes /100 g dry soil</t>
  </si>
  <si>
    <t>fumigated C (mg/L)</t>
  </si>
  <si>
    <t>non fumigated C (mg/L)</t>
  </si>
  <si>
    <t>Mass Soil (g)</t>
  </si>
  <si>
    <t>fumigated C (mg/kg soil)</t>
  </si>
  <si>
    <t>non fumigated C (mg/kg soil)</t>
  </si>
  <si>
    <t>MBC</t>
  </si>
  <si>
    <t>cropland</t>
  </si>
  <si>
    <t>grassland</t>
  </si>
  <si>
    <t>forest</t>
  </si>
  <si>
    <t>Group</t>
  </si>
  <si>
    <t>Group Number</t>
  </si>
  <si>
    <t>Cropland_2025</t>
  </si>
  <si>
    <t>Grassland_2025</t>
  </si>
  <si>
    <t>Forest_2025</t>
  </si>
  <si>
    <t>Grassland_2024</t>
  </si>
  <si>
    <t>Forest_2024</t>
  </si>
  <si>
    <t>A</t>
  </si>
  <si>
    <t>plot 1 2 3 4 5</t>
  </si>
  <si>
    <t>plot 6 7 8 9 10</t>
  </si>
  <si>
    <t>plot 16 17 18 19</t>
  </si>
  <si>
    <t>B</t>
  </si>
  <si>
    <t>plot 11 12 13 14 15</t>
  </si>
  <si>
    <t>C</t>
  </si>
  <si>
    <t>plot 20 21 22 23</t>
  </si>
  <si>
    <t>D</t>
  </si>
  <si>
    <t>E</t>
  </si>
  <si>
    <t>plot  7 8 9 10</t>
  </si>
  <si>
    <t>F</t>
  </si>
  <si>
    <t>plot  6 8 9 10</t>
  </si>
  <si>
    <t>plot 12 13 14 15</t>
  </si>
  <si>
    <t>G</t>
  </si>
  <si>
    <t>plot 2 3 4 5</t>
  </si>
  <si>
    <t>plot  6 7 9 10</t>
  </si>
  <si>
    <t>plot 11 13 14 15</t>
  </si>
  <si>
    <t>H</t>
  </si>
  <si>
    <t>plot  6 7 8 10</t>
  </si>
  <si>
    <t>plot 11 12 14 15</t>
  </si>
  <si>
    <t>I</t>
  </si>
  <si>
    <t>plot  6 7 8 9</t>
  </si>
  <si>
    <t>plot 11 12 13 15</t>
  </si>
  <si>
    <t>J</t>
  </si>
  <si>
    <t>plot 11 12 13 14</t>
  </si>
  <si>
    <t>K</t>
  </si>
  <si>
    <t>L</t>
  </si>
  <si>
    <t>plot 1 2 4 5</t>
  </si>
  <si>
    <t>M</t>
  </si>
  <si>
    <t>N</t>
  </si>
  <si>
    <t>O</t>
  </si>
  <si>
    <t>P</t>
  </si>
  <si>
    <t>Q</t>
  </si>
  <si>
    <t>plot 1 2 3 4</t>
  </si>
  <si>
    <t>R</t>
  </si>
  <si>
    <t>S</t>
  </si>
  <si>
    <t>T</t>
  </si>
  <si>
    <t xml:space="preserve">plot 1 2 3 4 </t>
  </si>
  <si>
    <t>U</t>
  </si>
  <si>
    <t>mass fresh soil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</si>
</sst>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"/>
    <numFmt numFmtId="166" formatCode="0.0"/>
    <numFmt numFmtId="167" formatCode="0.000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4" borderId="0" xfId="0" applyFill="1"/>
    <xf numFmtId="167" fontId="0" fillId="4" borderId="0" xfId="0" applyNumberFormat="1" applyFill="1"/>
    <xf numFmtId="166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2" fontId="0" fillId="4" borderId="0" xfId="0" applyNumberFormat="1" applyFill="1"/>
    <xf numFmtId="167" fontId="0" fillId="5" borderId="0" xfId="0" applyNumberFormat="1" applyFill="1"/>
    <xf numFmtId="166" fontId="0" fillId="5" borderId="0" xfId="0" applyNumberFormat="1" applyFill="1"/>
    <xf numFmtId="164" fontId="0" fillId="5" borderId="0" xfId="0" applyNumberFormat="1" applyFill="1"/>
    <xf numFmtId="165" fontId="0" fillId="5" borderId="0" xfId="0" applyNumberFormat="1" applyFill="1"/>
    <xf numFmtId="2" fontId="0" fillId="5" borderId="0" xfId="0" applyNumberFormat="1" applyFill="1"/>
    <xf numFmtId="0" fontId="3" fillId="6" borderId="0" xfId="0" applyFont="1" applyFill="1"/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lby Spencer" id="{7437451D-0B66-4ED4-A305-06D7E3BFFEAC}" userId="S::colby.spencer@ugent.be::205d6c2a-c085-4397-beb7-12d5e9f334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5-12-08T12:43:55.08" personId="{7437451D-0B66-4ED4-A305-06D7E3BFFEAC}" id="{4A4385A5-9DC7-4CEE-A54E-C0177ED86BA7}">
    <text>shouldnt it be m^3?</text>
  </threadedComment>
  <threadedComment ref="S2" dT="2025-12-08T13:00:41.14" personId="{7437451D-0B66-4ED4-A305-06D7E3BFFEAC}" id="{09B190DD-9E36-4ED6-B5AD-06587E5879C5}">
    <text>assume soil core is 5cm diameter and 5cm depth</text>
  </threadedComment>
  <threadedComment ref="AK2" dT="2025-12-08T12:51:06.86" personId="{7437451D-0B66-4ED4-A305-06D7E3BFFEAC}" id="{4EB5863E-0C5D-4836-85CC-97E97B7CC0BE}">
    <text>according to protocol</text>
  </threadedComment>
  <threadedComment ref="AK2" dT="2025-12-08T13:11:00.75" personId="{7437451D-0B66-4ED4-A305-06D7E3BFFEAC}" id="{DC5316D5-6220-43E5-9232-1FF1D163DAC1}" parentId="{4EB5863E-0C5D-4836-85CC-97E97B7CC0BE}">
    <text xml:space="preserve">Practical 2/3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" dT="2025-12-08T12:43:55.08" personId="{7437451D-0B66-4ED4-A305-06D7E3BFFEAC}" id="{5F75FB8B-FAEF-40E0-9FE5-463021C6A2AD}">
    <text>shouldnt it be m^3?</text>
  </threadedComment>
  <threadedComment ref="S2" dT="2025-12-08T13:00:41.14" personId="{7437451D-0B66-4ED4-A305-06D7E3BFFEAC}" id="{A9C199A3-A269-44F2-93A5-2FF8E34BDA83}">
    <text>assume soil core is 5cm diameter and 5cm depth</text>
  </threadedComment>
  <threadedComment ref="AK2" dT="2025-12-08T12:51:06.86" personId="{7437451D-0B66-4ED4-A305-06D7E3BFFEAC}" id="{6226B021-851D-4AA5-A6DD-C2CE5C268F52}">
    <text>according to protocol</text>
  </threadedComment>
  <threadedComment ref="AK2" dT="2025-12-08T13:11:00.75" personId="{7437451D-0B66-4ED4-A305-06D7E3BFFEAC}" id="{F887F983-A558-4866-B517-2EF26DF728BD}" parentId="{6226B021-851D-4AA5-A6DD-C2CE5C268F52}">
    <text xml:space="preserve">Practical 2/3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"/>
  <sheetViews>
    <sheetView topLeftCell="Z1" zoomScale="130" zoomScaleNormal="130" workbookViewId="0">
      <selection activeCell="AH4" sqref="AH4"/>
    </sheetView>
  </sheetViews>
  <sheetFormatPr defaultRowHeight="15" customHeight="1"/>
  <cols>
    <col min="8" max="9" width="15" customWidth="1"/>
    <col min="10" max="11" width="13.5703125" customWidth="1"/>
    <col min="12" max="13" width="13" customWidth="1"/>
    <col min="14" max="15" width="15.28515625" customWidth="1"/>
    <col min="16" max="17" width="14.85546875" customWidth="1"/>
    <col min="18" max="18" width="12.7109375" customWidth="1"/>
    <col min="19" max="20" width="15.7109375" customWidth="1"/>
    <col min="21" max="22" width="11.42578125" customWidth="1"/>
    <col min="23" max="24" width="13.28515625" customWidth="1"/>
    <col min="25" max="26" width="15" customWidth="1"/>
    <col min="27" max="28" width="16.28515625" customWidth="1"/>
    <col min="29" max="30" width="14.7109375" customWidth="1"/>
    <col min="31" max="31" width="10.28515625" customWidth="1"/>
    <col min="32" max="36" width="10.7109375" customWidth="1"/>
  </cols>
  <sheetData>
    <row r="1" spans="1:37" ht="39" customHeight="1">
      <c r="A1" s="24" t="s">
        <v>0</v>
      </c>
      <c r="B1" s="24" t="s">
        <v>1</v>
      </c>
      <c r="C1" s="24" t="s">
        <v>2</v>
      </c>
      <c r="D1" s="24" t="s">
        <v>3</v>
      </c>
      <c r="E1" s="24"/>
      <c r="F1" s="24"/>
      <c r="G1" s="24"/>
      <c r="H1" s="24"/>
      <c r="I1" s="24"/>
      <c r="J1" s="24"/>
      <c r="K1" s="24"/>
      <c r="L1" s="23" t="s">
        <v>4</v>
      </c>
      <c r="M1" s="23"/>
      <c r="N1" s="23"/>
      <c r="O1" s="5"/>
      <c r="P1" s="24" t="s">
        <v>5</v>
      </c>
      <c r="Q1" s="24"/>
      <c r="R1" s="24"/>
      <c r="S1" s="23" t="s">
        <v>6</v>
      </c>
      <c r="T1" s="23"/>
      <c r="U1" s="23"/>
      <c r="V1" s="23"/>
      <c r="W1" s="23"/>
      <c r="X1" s="23"/>
      <c r="Y1" s="23"/>
      <c r="Z1" s="5"/>
      <c r="AA1" t="s">
        <v>7</v>
      </c>
      <c r="AC1" s="6" t="s">
        <v>8</v>
      </c>
      <c r="AD1" s="6"/>
      <c r="AE1" s="23" t="s">
        <v>9</v>
      </c>
      <c r="AF1" s="23"/>
      <c r="AG1" s="23"/>
      <c r="AH1" s="23"/>
      <c r="AI1" s="23"/>
      <c r="AJ1" s="23"/>
    </row>
    <row r="2" spans="1:37" ht="81.599999999999994" customHeight="1">
      <c r="A2" s="24"/>
      <c r="B2" s="24"/>
      <c r="C2" s="24"/>
      <c r="D2" s="6" t="s">
        <v>10</v>
      </c>
      <c r="E2" s="6" t="s">
        <v>11</v>
      </c>
      <c r="F2" s="7" t="s">
        <v>12</v>
      </c>
      <c r="G2" s="6" t="s">
        <v>13</v>
      </c>
      <c r="H2" s="6" t="s">
        <v>14</v>
      </c>
      <c r="I2" s="7" t="s">
        <v>15</v>
      </c>
      <c r="J2" s="6" t="s">
        <v>16</v>
      </c>
      <c r="K2" s="7" t="s">
        <v>17</v>
      </c>
      <c r="L2" s="6" t="s">
        <v>18</v>
      </c>
      <c r="M2" s="7" t="s">
        <v>19</v>
      </c>
      <c r="N2" s="6" t="s">
        <v>20</v>
      </c>
      <c r="O2" s="7" t="s">
        <v>21</v>
      </c>
      <c r="P2" s="6" t="s">
        <v>22</v>
      </c>
      <c r="Q2" s="7" t="s">
        <v>22</v>
      </c>
      <c r="R2" s="6" t="s">
        <v>23</v>
      </c>
      <c r="S2" s="6" t="s">
        <v>24</v>
      </c>
      <c r="T2" s="20" t="s">
        <v>25</v>
      </c>
      <c r="U2" s="6" t="s">
        <v>26</v>
      </c>
      <c r="V2" s="20" t="s">
        <v>27</v>
      </c>
      <c r="W2" s="6" t="s">
        <v>28</v>
      </c>
      <c r="X2" s="20" t="s">
        <v>29</v>
      </c>
      <c r="Y2" s="6" t="s">
        <v>30</v>
      </c>
      <c r="Z2" s="20" t="s">
        <v>31</v>
      </c>
      <c r="AA2" s="6" t="s">
        <v>32</v>
      </c>
      <c r="AB2" s="21" t="s">
        <v>33</v>
      </c>
      <c r="AC2" s="6" t="s">
        <v>34</v>
      </c>
      <c r="AD2" s="20" t="s">
        <v>35</v>
      </c>
      <c r="AE2" s="6" t="s">
        <v>36</v>
      </c>
      <c r="AF2" s="6" t="s">
        <v>37</v>
      </c>
      <c r="AG2" s="7"/>
      <c r="AH2" s="7" t="s">
        <v>38</v>
      </c>
      <c r="AI2" s="7" t="s">
        <v>39</v>
      </c>
      <c r="AJ2" s="7" t="s">
        <v>40</v>
      </c>
      <c r="AK2" s="19" t="s">
        <v>41</v>
      </c>
    </row>
    <row r="3" spans="1:37" s="3" customFormat="1">
      <c r="A3" s="8">
        <v>1</v>
      </c>
      <c r="B3" s="8" t="s">
        <v>42</v>
      </c>
      <c r="C3" s="8">
        <v>2025</v>
      </c>
      <c r="D3" s="8">
        <v>1.52</v>
      </c>
      <c r="E3" s="8">
        <v>0.12</v>
      </c>
      <c r="F3" s="8"/>
      <c r="G3" s="8">
        <v>6.2</v>
      </c>
      <c r="H3" s="9">
        <v>5.170160240517277E-2</v>
      </c>
      <c r="I3" s="9">
        <f>H3*100</f>
        <v>5.1701602405172773</v>
      </c>
      <c r="J3" s="10">
        <v>125.92</v>
      </c>
      <c r="K3" s="10">
        <f>J3/(3.14*(2.5^2)*5)</f>
        <v>1.2832611464968153</v>
      </c>
      <c r="L3" s="8">
        <v>0</v>
      </c>
      <c r="M3" s="8">
        <f>L3/0.12</f>
        <v>0</v>
      </c>
      <c r="N3" s="8">
        <v>0</v>
      </c>
      <c r="O3" s="8">
        <f>N3/0.12</f>
        <v>0</v>
      </c>
      <c r="P3" s="11">
        <v>3.1499999999999972E-2</v>
      </c>
      <c r="Q3" s="11">
        <f>P3*100</f>
        <v>3.1499999999999972</v>
      </c>
      <c r="R3" s="12">
        <v>6.3000000000000003E-4</v>
      </c>
      <c r="S3" s="13">
        <v>5</v>
      </c>
      <c r="T3" s="13">
        <f>S3/(3.14*(2.5^2)*5) * 100^3</f>
        <v>50955.414012738853</v>
      </c>
      <c r="U3" s="13">
        <v>2.3333333333333335</v>
      </c>
      <c r="V3" s="13">
        <f>U3/(3.14*(2.5^2)*5) * 100^3</f>
        <v>23779.193205944801</v>
      </c>
      <c r="W3" s="13">
        <v>2</v>
      </c>
      <c r="X3" s="13">
        <f>W3/(3.14*(2.5^2)*5) * 100^3</f>
        <v>20382.165605095539</v>
      </c>
      <c r="Y3" s="13">
        <v>0.66666666666666663</v>
      </c>
      <c r="Z3" s="13">
        <f>Y3/(3.14*(2.5^2)*5)*100^3</f>
        <v>6794.055201698513</v>
      </c>
      <c r="AA3" s="13">
        <v>51.499999999999993</v>
      </c>
      <c r="AB3" s="13"/>
      <c r="AC3" s="10">
        <v>102.33333333333333</v>
      </c>
      <c r="AD3" s="10">
        <f>AC3*2</f>
        <v>204.66666666666666</v>
      </c>
      <c r="AE3" s="10">
        <v>32.777999999999999</v>
      </c>
      <c r="AF3" s="10">
        <v>8.5609999999999999</v>
      </c>
      <c r="AG3" s="10"/>
      <c r="AH3" s="10">
        <v>50</v>
      </c>
      <c r="AI3" s="10"/>
      <c r="AJ3" s="10"/>
      <c r="AK3" s="8">
        <f>(AJ3-AI3)/0.45</f>
        <v>0</v>
      </c>
    </row>
    <row r="4" spans="1:37" s="3" customFormat="1">
      <c r="A4" s="8">
        <v>2</v>
      </c>
      <c r="B4" s="8" t="s">
        <v>42</v>
      </c>
      <c r="C4" s="8">
        <v>2025</v>
      </c>
      <c r="D4" s="8">
        <v>1.26</v>
      </c>
      <c r="E4" s="8">
        <v>0.12</v>
      </c>
      <c r="F4" s="8"/>
      <c r="G4" s="8">
        <v>6.1</v>
      </c>
      <c r="H4" s="9">
        <v>5.746149602659878E-2</v>
      </c>
      <c r="I4" s="9">
        <f t="shared" ref="I4:I25" si="0">H4*100</f>
        <v>5.7461496026598784</v>
      </c>
      <c r="J4" s="10">
        <v>124.44333333333334</v>
      </c>
      <c r="K4" s="10">
        <f t="shared" ref="K4:K25" si="1">J4/(3.14*(2.5^2)*5)</f>
        <v>1.2682123142250532</v>
      </c>
      <c r="L4" s="8">
        <v>0</v>
      </c>
      <c r="M4" s="8">
        <f t="shared" ref="M4:M25" si="2">L4/0.12</f>
        <v>0</v>
      </c>
      <c r="N4" s="8">
        <v>0</v>
      </c>
      <c r="O4" s="8">
        <f t="shared" ref="O4:O25" si="3">N4/0.12</f>
        <v>0</v>
      </c>
      <c r="P4" s="11">
        <v>7.4999999999999956E-2</v>
      </c>
      <c r="Q4" s="11">
        <f t="shared" ref="Q4:Q25" si="4">P4*100</f>
        <v>7.4999999999999956</v>
      </c>
      <c r="R4" s="12">
        <v>1.5299999999999999E-3</v>
      </c>
      <c r="S4" s="13">
        <v>4.333333333333333</v>
      </c>
      <c r="T4" s="13">
        <f t="shared" ref="T4:T25" si="5">S4/(3.14*(2.5^2)*5) * 100^3</f>
        <v>44161.358811040336</v>
      </c>
      <c r="U4" s="13">
        <v>1</v>
      </c>
      <c r="V4" s="13">
        <f t="shared" ref="V4:V25" si="6">U4/(3.14*(2.5^2)*5) * 100^3</f>
        <v>10191.082802547769</v>
      </c>
      <c r="W4" s="13">
        <v>3</v>
      </c>
      <c r="X4" s="13">
        <f t="shared" ref="X4:X25" si="7">W4/(3.14*(2.5^2)*5) * 100^3</f>
        <v>30573.248407643314</v>
      </c>
      <c r="Y4" s="13">
        <v>0.33333333333333331</v>
      </c>
      <c r="Z4" s="13">
        <f t="shared" ref="Z4:Z25" si="8">Y4/(3.14*(2.5^2)*5)*100^3</f>
        <v>3397.0276008492565</v>
      </c>
      <c r="AA4" s="13">
        <v>33</v>
      </c>
      <c r="AB4" s="13"/>
      <c r="AC4" s="10">
        <v>83.5</v>
      </c>
      <c r="AD4" s="10">
        <f t="shared" ref="AD4:AD25" si="9">AC4*2</f>
        <v>167</v>
      </c>
      <c r="AE4" s="10">
        <v>32.528000000000006</v>
      </c>
      <c r="AF4" s="10">
        <v>10.274000000000001</v>
      </c>
      <c r="AG4" s="10"/>
      <c r="AH4" s="10">
        <v>50</v>
      </c>
      <c r="AI4" s="10"/>
      <c r="AJ4" s="10"/>
      <c r="AK4" s="8"/>
    </row>
    <row r="5" spans="1:37" s="3" customFormat="1">
      <c r="A5" s="8">
        <v>3</v>
      </c>
      <c r="B5" s="8" t="s">
        <v>42</v>
      </c>
      <c r="C5" s="8">
        <v>2025</v>
      </c>
      <c r="D5" s="8">
        <v>1.36</v>
      </c>
      <c r="E5" s="8">
        <v>0.11</v>
      </c>
      <c r="F5" s="8"/>
      <c r="G5" s="8">
        <v>6.25</v>
      </c>
      <c r="H5" s="9">
        <v>6.5721193332475045E-2</v>
      </c>
      <c r="I5" s="9">
        <f t="shared" si="0"/>
        <v>6.5721193332475041</v>
      </c>
      <c r="J5" s="10">
        <v>131.91333333333333</v>
      </c>
      <c r="K5" s="10">
        <f t="shared" si="1"/>
        <v>1.344339702760085</v>
      </c>
      <c r="L5" s="8">
        <v>2</v>
      </c>
      <c r="M5" s="8">
        <f t="shared" si="2"/>
        <v>16.666666666666668</v>
      </c>
      <c r="N5" s="8">
        <v>0.32</v>
      </c>
      <c r="O5" s="8">
        <f t="shared" si="3"/>
        <v>2.666666666666667</v>
      </c>
      <c r="P5" s="11">
        <v>0.1865</v>
      </c>
      <c r="Q5" s="11">
        <f t="shared" si="4"/>
        <v>18.649999999999999</v>
      </c>
      <c r="R5" s="12">
        <v>6.0299999999999998E-3</v>
      </c>
      <c r="S5" s="13">
        <v>0.33333333333333331</v>
      </c>
      <c r="T5" s="13">
        <f t="shared" si="5"/>
        <v>3397.0276008492565</v>
      </c>
      <c r="U5" s="13">
        <v>0.33333333333333331</v>
      </c>
      <c r="V5" s="13">
        <f t="shared" si="6"/>
        <v>3397.0276008492565</v>
      </c>
      <c r="W5" s="13">
        <v>0</v>
      </c>
      <c r="X5" s="13">
        <f t="shared" si="7"/>
        <v>0</v>
      </c>
      <c r="Y5" s="13">
        <v>0</v>
      </c>
      <c r="Z5" s="13">
        <f>Y5/(3.14*(2.5^2)*5)*100^3</f>
        <v>0</v>
      </c>
      <c r="AA5" s="13">
        <v>58.5</v>
      </c>
      <c r="AB5" s="13"/>
      <c r="AC5" s="10">
        <v>172.33333333333334</v>
      </c>
      <c r="AD5" s="10">
        <f t="shared" si="9"/>
        <v>344.66666666666669</v>
      </c>
      <c r="AE5" s="10">
        <v>39.453333333333298</v>
      </c>
      <c r="AF5" s="10">
        <v>11.068</v>
      </c>
      <c r="AG5" s="10"/>
      <c r="AH5" s="10">
        <v>50</v>
      </c>
      <c r="AI5" s="10"/>
      <c r="AJ5" s="10"/>
      <c r="AK5" s="8"/>
    </row>
    <row r="6" spans="1:37" s="3" customFormat="1">
      <c r="A6" s="8">
        <v>4</v>
      </c>
      <c r="B6" s="8" t="s">
        <v>42</v>
      </c>
      <c r="C6" s="8">
        <v>2025</v>
      </c>
      <c r="D6" s="8">
        <v>1.34</v>
      </c>
      <c r="E6" s="8">
        <v>0.12</v>
      </c>
      <c r="F6" s="8"/>
      <c r="G6" s="8">
        <v>6.2</v>
      </c>
      <c r="H6" s="9">
        <v>4.6389954656435223E-2</v>
      </c>
      <c r="I6" s="9">
        <f t="shared" si="0"/>
        <v>4.6389954656435224</v>
      </c>
      <c r="J6" s="10">
        <v>129.69</v>
      </c>
      <c r="K6" s="10">
        <f t="shared" si="1"/>
        <v>1.3216815286624204</v>
      </c>
      <c r="L6" s="8">
        <v>0</v>
      </c>
      <c r="M6" s="8">
        <f t="shared" si="2"/>
        <v>0</v>
      </c>
      <c r="N6" s="8">
        <v>0</v>
      </c>
      <c r="O6" s="8">
        <f t="shared" si="3"/>
        <v>0</v>
      </c>
      <c r="P6" s="11">
        <v>6.0999999999999943E-2</v>
      </c>
      <c r="Q6" s="11">
        <f t="shared" si="4"/>
        <v>6.0999999999999943</v>
      </c>
      <c r="R6" s="12">
        <v>1.89E-3</v>
      </c>
      <c r="S6" s="13">
        <v>0</v>
      </c>
      <c r="T6" s="13">
        <f t="shared" si="5"/>
        <v>0</v>
      </c>
      <c r="U6" s="13">
        <v>0</v>
      </c>
      <c r="V6" s="13">
        <f t="shared" si="6"/>
        <v>0</v>
      </c>
      <c r="W6" s="13">
        <v>0</v>
      </c>
      <c r="X6" s="13">
        <f t="shared" si="7"/>
        <v>0</v>
      </c>
      <c r="Y6" s="13">
        <v>0</v>
      </c>
      <c r="Z6" s="13">
        <f t="shared" si="8"/>
        <v>0</v>
      </c>
      <c r="AA6" s="13">
        <v>109</v>
      </c>
      <c r="AB6" s="13"/>
      <c r="AC6" s="10">
        <v>42.5</v>
      </c>
      <c r="AD6" s="10">
        <f t="shared" si="9"/>
        <v>85</v>
      </c>
      <c r="AE6" s="10">
        <v>26.339500000000001</v>
      </c>
      <c r="AF6" s="10">
        <v>10.3035</v>
      </c>
      <c r="AG6" s="10"/>
      <c r="AH6" s="10">
        <v>50</v>
      </c>
      <c r="AI6" s="10"/>
      <c r="AJ6" s="10"/>
      <c r="AK6" s="8"/>
    </row>
    <row r="7" spans="1:37" s="3" customFormat="1">
      <c r="A7" s="8">
        <v>5</v>
      </c>
      <c r="B7" s="8" t="s">
        <v>42</v>
      </c>
      <c r="C7" s="8">
        <v>2025</v>
      </c>
      <c r="D7" s="8">
        <v>1.28</v>
      </c>
      <c r="E7" s="8">
        <v>0.11</v>
      </c>
      <c r="F7" s="8"/>
      <c r="G7" s="8">
        <v>6.2</v>
      </c>
      <c r="H7" s="9">
        <v>5.1868797026662618E-2</v>
      </c>
      <c r="I7" s="9">
        <f t="shared" si="0"/>
        <v>5.1868797026662614</v>
      </c>
      <c r="J7" s="10">
        <v>125.55500000000001</v>
      </c>
      <c r="K7" s="10">
        <f t="shared" si="1"/>
        <v>1.2795414012738855</v>
      </c>
      <c r="L7" s="8">
        <v>1</v>
      </c>
      <c r="M7" s="8">
        <f t="shared" si="2"/>
        <v>8.3333333333333339</v>
      </c>
      <c r="N7" s="8">
        <v>0.22</v>
      </c>
      <c r="O7" s="8">
        <f t="shared" si="3"/>
        <v>1.8333333333333335</v>
      </c>
      <c r="P7" s="11">
        <v>0.38049999999999995</v>
      </c>
      <c r="Q7" s="11">
        <f t="shared" si="4"/>
        <v>38.049999999999997</v>
      </c>
      <c r="R7" s="12">
        <v>1.2999999999999999E-2</v>
      </c>
      <c r="S7" s="13">
        <v>9</v>
      </c>
      <c r="T7" s="13">
        <f t="shared" si="5"/>
        <v>91719.745222929923</v>
      </c>
      <c r="U7" s="13">
        <v>8</v>
      </c>
      <c r="V7" s="13">
        <f t="shared" si="6"/>
        <v>81528.662420382156</v>
      </c>
      <c r="W7" s="13">
        <v>0.33333333333333331</v>
      </c>
      <c r="X7" s="13">
        <f t="shared" si="7"/>
        <v>3397.0276008492565</v>
      </c>
      <c r="Y7" s="13">
        <v>0.66666666666666663</v>
      </c>
      <c r="Z7" s="13">
        <f t="shared" si="8"/>
        <v>6794.055201698513</v>
      </c>
      <c r="AA7" s="13">
        <v>70.666666666666686</v>
      </c>
      <c r="AB7" s="13"/>
      <c r="AC7" s="10">
        <v>62.666666666666664</v>
      </c>
      <c r="AD7" s="10">
        <f t="shared" si="9"/>
        <v>125.33333333333333</v>
      </c>
      <c r="AE7" s="10">
        <v>21.807999999999996</v>
      </c>
      <c r="AF7" s="10">
        <v>6.1633333333333331</v>
      </c>
      <c r="AG7" s="10"/>
      <c r="AH7" s="10">
        <v>50</v>
      </c>
      <c r="AI7" s="10"/>
      <c r="AJ7" s="10"/>
      <c r="AK7" s="8"/>
    </row>
    <row r="8" spans="1:37" s="3" customFormat="1">
      <c r="A8" s="8">
        <v>6</v>
      </c>
      <c r="B8" s="8" t="s">
        <v>43</v>
      </c>
      <c r="C8" s="8">
        <v>2025</v>
      </c>
      <c r="D8" s="8">
        <v>1.79</v>
      </c>
      <c r="E8" s="8">
        <v>0.15</v>
      </c>
      <c r="F8" s="8"/>
      <c r="G8" s="8">
        <v>4.71</v>
      </c>
      <c r="H8" s="9">
        <v>0.12188071364620238</v>
      </c>
      <c r="I8" s="9">
        <f t="shared" si="0"/>
        <v>12.188071364620239</v>
      </c>
      <c r="J8" s="10">
        <v>97.1</v>
      </c>
      <c r="K8" s="10">
        <f t="shared" si="1"/>
        <v>0.98955414012738852</v>
      </c>
      <c r="L8" s="8">
        <v>7</v>
      </c>
      <c r="M8" s="8">
        <f t="shared" si="2"/>
        <v>58.333333333333336</v>
      </c>
      <c r="N8" s="8">
        <v>1.96</v>
      </c>
      <c r="O8" s="8">
        <f t="shared" si="3"/>
        <v>16.333333333333332</v>
      </c>
      <c r="P8" s="11">
        <v>0.24649999999999994</v>
      </c>
      <c r="Q8" s="11">
        <f t="shared" si="4"/>
        <v>24.649999999999995</v>
      </c>
      <c r="R8" s="12">
        <v>8.8000000000000005E-3</v>
      </c>
      <c r="S8" s="13">
        <v>66</v>
      </c>
      <c r="T8" s="13">
        <f t="shared" si="5"/>
        <v>672611.46496815281</v>
      </c>
      <c r="U8" s="13">
        <v>38.333333333333336</v>
      </c>
      <c r="V8" s="13">
        <f t="shared" si="6"/>
        <v>390658.1740976646</v>
      </c>
      <c r="W8" s="13">
        <v>25.666666666666668</v>
      </c>
      <c r="X8" s="13">
        <f t="shared" si="7"/>
        <v>261571.12526539277</v>
      </c>
      <c r="Y8" s="13">
        <v>2</v>
      </c>
      <c r="Z8" s="13">
        <f t="shared" si="8"/>
        <v>20382.165605095539</v>
      </c>
      <c r="AA8" s="13">
        <v>162.66666666666666</v>
      </c>
      <c r="AB8" s="13"/>
      <c r="AC8" s="10">
        <v>196.66666666666666</v>
      </c>
      <c r="AD8" s="10">
        <f t="shared" si="9"/>
        <v>393.33333333333331</v>
      </c>
      <c r="AE8" s="10">
        <v>75.713666666666668</v>
      </c>
      <c r="AF8" s="10">
        <v>10.089333333333334</v>
      </c>
      <c r="AG8" s="10"/>
      <c r="AH8" s="10">
        <v>50</v>
      </c>
      <c r="AI8" s="10"/>
      <c r="AJ8" s="10"/>
      <c r="AK8" s="8"/>
    </row>
    <row r="9" spans="1:37" s="3" customFormat="1">
      <c r="A9" s="8">
        <v>7</v>
      </c>
      <c r="B9" s="8" t="s">
        <v>43</v>
      </c>
      <c r="C9" s="8">
        <v>2025</v>
      </c>
      <c r="D9" s="8">
        <v>1.83</v>
      </c>
      <c r="E9" s="8">
        <v>0.16</v>
      </c>
      <c r="F9" s="8"/>
      <c r="G9" s="8">
        <v>5.51</v>
      </c>
      <c r="H9" s="9">
        <v>0.10836036120643874</v>
      </c>
      <c r="I9" s="9">
        <f t="shared" si="0"/>
        <v>10.836036120643874</v>
      </c>
      <c r="J9" s="10">
        <v>122.68666666666667</v>
      </c>
      <c r="K9" s="10">
        <f t="shared" si="1"/>
        <v>1.2503099787685774</v>
      </c>
      <c r="L9" s="8">
        <v>13</v>
      </c>
      <c r="M9" s="8">
        <f t="shared" si="2"/>
        <v>108.33333333333334</v>
      </c>
      <c r="N9" s="8">
        <v>1.74</v>
      </c>
      <c r="O9" s="8">
        <f t="shared" si="3"/>
        <v>14.5</v>
      </c>
      <c r="P9" s="11">
        <v>0.14600000000000013</v>
      </c>
      <c r="Q9" s="11">
        <f t="shared" si="4"/>
        <v>14.600000000000012</v>
      </c>
      <c r="R9" s="12">
        <v>5.3400000000000001E-3</v>
      </c>
      <c r="S9" s="13">
        <v>29</v>
      </c>
      <c r="T9" s="13">
        <f t="shared" si="5"/>
        <v>295541.40127388533</v>
      </c>
      <c r="U9" s="13">
        <v>18</v>
      </c>
      <c r="V9" s="13">
        <f t="shared" si="6"/>
        <v>183439.49044585985</v>
      </c>
      <c r="W9" s="13">
        <v>9.3333333333333339</v>
      </c>
      <c r="X9" s="13">
        <f t="shared" si="7"/>
        <v>95116.772823779203</v>
      </c>
      <c r="Y9" s="13">
        <v>1.6666666666666667</v>
      </c>
      <c r="Z9" s="13">
        <f t="shared" si="8"/>
        <v>16985.138004246284</v>
      </c>
      <c r="AA9" s="13">
        <v>153.75</v>
      </c>
      <c r="AB9" s="13"/>
      <c r="AC9" s="10">
        <v>220.25</v>
      </c>
      <c r="AD9" s="10">
        <f t="shared" si="9"/>
        <v>440.5</v>
      </c>
      <c r="AE9" s="10">
        <v>59.065750000000001</v>
      </c>
      <c r="AF9" s="10">
        <v>12.58825</v>
      </c>
      <c r="AG9" s="10"/>
      <c r="AH9" s="10">
        <v>50</v>
      </c>
      <c r="AI9" s="10"/>
      <c r="AJ9" s="10"/>
      <c r="AK9" s="8"/>
    </row>
    <row r="10" spans="1:37" s="3" customFormat="1">
      <c r="A10" s="8">
        <v>8</v>
      </c>
      <c r="B10" s="8" t="s">
        <v>43</v>
      </c>
      <c r="C10" s="8">
        <v>2025</v>
      </c>
      <c r="D10" s="8">
        <v>1.5</v>
      </c>
      <c r="E10" s="8">
        <v>0.13</v>
      </c>
      <c r="F10" s="8"/>
      <c r="G10" s="8">
        <v>5.38</v>
      </c>
      <c r="H10" s="9">
        <v>0.11629427746722501</v>
      </c>
      <c r="I10" s="9">
        <f t="shared" si="0"/>
        <v>11.6294277467225</v>
      </c>
      <c r="J10" s="10">
        <v>120.63666666666666</v>
      </c>
      <c r="K10" s="10">
        <f t="shared" si="1"/>
        <v>1.2294182590233544</v>
      </c>
      <c r="L10" s="8">
        <v>6</v>
      </c>
      <c r="M10" s="8">
        <f t="shared" si="2"/>
        <v>50</v>
      </c>
      <c r="N10" s="8">
        <v>2.94</v>
      </c>
      <c r="O10" s="8">
        <f t="shared" si="3"/>
        <v>24.5</v>
      </c>
      <c r="P10" s="11">
        <v>0.29849999999999999</v>
      </c>
      <c r="Q10" s="11">
        <f t="shared" si="4"/>
        <v>29.849999999999998</v>
      </c>
      <c r="R10" s="12">
        <v>9.4500000000000001E-3</v>
      </c>
      <c r="S10" s="13">
        <v>68</v>
      </c>
      <c r="T10" s="13">
        <f t="shared" si="5"/>
        <v>692993.63057324837</v>
      </c>
      <c r="U10" s="13">
        <v>10</v>
      </c>
      <c r="V10" s="13">
        <f t="shared" si="6"/>
        <v>101910.82802547771</v>
      </c>
      <c r="W10" s="13">
        <v>54</v>
      </c>
      <c r="X10" s="13">
        <f t="shared" si="7"/>
        <v>550318.47133757966</v>
      </c>
      <c r="Y10" s="13">
        <v>4</v>
      </c>
      <c r="Z10" s="13">
        <f t="shared" si="8"/>
        <v>40764.331210191078</v>
      </c>
      <c r="AA10" s="13">
        <v>133.5</v>
      </c>
      <c r="AB10" s="13"/>
      <c r="AC10" s="10">
        <v>112</v>
      </c>
      <c r="AD10" s="10">
        <f t="shared" si="9"/>
        <v>224</v>
      </c>
      <c r="AE10" s="10">
        <v>48.877499999999998</v>
      </c>
      <c r="AF10" s="10">
        <v>12.092500000000001</v>
      </c>
      <c r="AG10" s="10"/>
      <c r="AH10" s="10">
        <v>50</v>
      </c>
      <c r="AI10" s="10"/>
      <c r="AJ10" s="10"/>
      <c r="AK10" s="8"/>
    </row>
    <row r="11" spans="1:37" s="3" customFormat="1">
      <c r="A11" s="8">
        <v>9</v>
      </c>
      <c r="B11" s="8" t="s">
        <v>43</v>
      </c>
      <c r="C11" s="8">
        <v>2025</v>
      </c>
      <c r="D11" s="8">
        <v>1.96</v>
      </c>
      <c r="E11" s="8">
        <v>0.17</v>
      </c>
      <c r="F11" s="8"/>
      <c r="G11" s="8">
        <v>4.71</v>
      </c>
      <c r="H11" s="9">
        <v>0.15633440325674258</v>
      </c>
      <c r="I11" s="9">
        <f t="shared" si="0"/>
        <v>15.633440325674258</v>
      </c>
      <c r="J11" s="10">
        <v>119.43333333333334</v>
      </c>
      <c r="K11" s="10">
        <f t="shared" si="1"/>
        <v>1.2171549893842888</v>
      </c>
      <c r="L11" s="8">
        <v>10</v>
      </c>
      <c r="M11" s="8">
        <f t="shared" si="2"/>
        <v>83.333333333333343</v>
      </c>
      <c r="N11" s="8">
        <v>3.02</v>
      </c>
      <c r="O11" s="8">
        <f t="shared" si="3"/>
        <v>25.166666666666668</v>
      </c>
      <c r="P11" s="11">
        <v>9.000000000000008E-2</v>
      </c>
      <c r="Q11" s="11">
        <f t="shared" si="4"/>
        <v>9.0000000000000071</v>
      </c>
      <c r="R11" s="12">
        <v>3.3700000000000002E-3</v>
      </c>
      <c r="S11" s="13">
        <v>42</v>
      </c>
      <c r="T11" s="13">
        <f t="shared" si="5"/>
        <v>428025.47770700639</v>
      </c>
      <c r="U11" s="13">
        <v>20.333333333333332</v>
      </c>
      <c r="V11" s="13">
        <f t="shared" si="6"/>
        <v>207218.68365180466</v>
      </c>
      <c r="W11" s="13">
        <v>20</v>
      </c>
      <c r="X11" s="13">
        <f t="shared" si="7"/>
        <v>203821.65605095541</v>
      </c>
      <c r="Y11" s="13">
        <v>1.6666666666666667</v>
      </c>
      <c r="Z11" s="13">
        <f t="shared" si="8"/>
        <v>16985.138004246284</v>
      </c>
      <c r="AA11" s="13">
        <v>181</v>
      </c>
      <c r="AB11" s="13"/>
      <c r="AC11" s="10">
        <v>147.5</v>
      </c>
      <c r="AD11" s="10">
        <f t="shared" si="9"/>
        <v>295</v>
      </c>
      <c r="AE11" s="10">
        <v>65.393000000000001</v>
      </c>
      <c r="AF11" s="10">
        <v>18.207000000000001</v>
      </c>
      <c r="AG11" s="10"/>
      <c r="AH11" s="10">
        <v>50</v>
      </c>
      <c r="AI11" s="10"/>
      <c r="AJ11" s="10"/>
      <c r="AK11" s="8"/>
    </row>
    <row r="12" spans="1:37" s="3" customFormat="1">
      <c r="A12" s="8">
        <v>10</v>
      </c>
      <c r="B12" s="8" t="s">
        <v>43</v>
      </c>
      <c r="C12" s="8">
        <v>2025</v>
      </c>
      <c r="D12" s="8">
        <v>1.9</v>
      </c>
      <c r="E12" s="8">
        <v>0.16</v>
      </c>
      <c r="F12" s="8"/>
      <c r="G12" s="8">
        <v>4.7300000000000004</v>
      </c>
      <c r="H12" s="9">
        <v>0.13149379914290241</v>
      </c>
      <c r="I12" s="9">
        <f t="shared" si="0"/>
        <v>13.149379914290241</v>
      </c>
      <c r="J12" s="10">
        <v>127.46666666666665</v>
      </c>
      <c r="K12" s="10">
        <f t="shared" si="1"/>
        <v>1.2990233545647558</v>
      </c>
      <c r="L12" s="8">
        <v>12</v>
      </c>
      <c r="M12" s="8">
        <f t="shared" si="2"/>
        <v>100</v>
      </c>
      <c r="N12" s="8">
        <v>5.82</v>
      </c>
      <c r="O12" s="8">
        <f t="shared" si="3"/>
        <v>48.500000000000007</v>
      </c>
      <c r="P12" s="11">
        <v>0.18450000000000011</v>
      </c>
      <c r="Q12" s="11">
        <f t="shared" si="4"/>
        <v>18.45000000000001</v>
      </c>
      <c r="R12" s="12">
        <v>3.7499999999999999E-3</v>
      </c>
      <c r="S12" s="13">
        <v>51.333333333333336</v>
      </c>
      <c r="T12" s="13">
        <f t="shared" si="5"/>
        <v>523142.25053078553</v>
      </c>
      <c r="U12" s="13">
        <v>12.333333333333334</v>
      </c>
      <c r="V12" s="13">
        <f t="shared" si="6"/>
        <v>125690.02123142251</v>
      </c>
      <c r="W12" s="13">
        <v>37.666666666666664</v>
      </c>
      <c r="X12" s="13">
        <f t="shared" si="7"/>
        <v>383864.11889596598</v>
      </c>
      <c r="Y12" s="13">
        <v>1.3333333333333333</v>
      </c>
      <c r="Z12" s="13">
        <f t="shared" si="8"/>
        <v>13588.110403397026</v>
      </c>
      <c r="AA12" s="13">
        <v>163.33333333333337</v>
      </c>
      <c r="AB12" s="13"/>
      <c r="AC12" s="10">
        <v>336.66666666666669</v>
      </c>
      <c r="AD12" s="10">
        <f t="shared" si="9"/>
        <v>673.33333333333337</v>
      </c>
      <c r="AE12" s="10">
        <v>53.199666666666666</v>
      </c>
      <c r="AF12" s="10">
        <v>15.343999999999999</v>
      </c>
      <c r="AG12" s="10"/>
      <c r="AH12" s="10">
        <v>50</v>
      </c>
      <c r="AI12" s="10"/>
      <c r="AJ12" s="10"/>
      <c r="AK12" s="8"/>
    </row>
    <row r="13" spans="1:37" s="3" customFormat="1">
      <c r="A13" s="3">
        <v>11</v>
      </c>
      <c r="B13" s="3" t="s">
        <v>44</v>
      </c>
      <c r="C13" s="3">
        <v>2025</v>
      </c>
      <c r="D13" s="3">
        <v>3.35</v>
      </c>
      <c r="E13" s="3">
        <v>0.27</v>
      </c>
      <c r="G13" s="3">
        <v>3.55</v>
      </c>
      <c r="H13" s="14">
        <v>0.15306201887328777</v>
      </c>
      <c r="I13" s="14">
        <f t="shared" si="0"/>
        <v>15.306201887328777</v>
      </c>
      <c r="J13" s="15">
        <v>91.83</v>
      </c>
      <c r="K13" s="15">
        <f t="shared" si="1"/>
        <v>0.9358471337579618</v>
      </c>
      <c r="L13" s="3">
        <v>13</v>
      </c>
      <c r="M13" s="3">
        <f t="shared" si="2"/>
        <v>108.33333333333334</v>
      </c>
      <c r="N13" s="3">
        <v>1.54</v>
      </c>
      <c r="O13" s="3">
        <f t="shared" si="3"/>
        <v>12.833333333333334</v>
      </c>
      <c r="P13" s="16">
        <v>4.9499999999999877E-2</v>
      </c>
      <c r="Q13" s="16">
        <f t="shared" si="4"/>
        <v>4.9499999999999877</v>
      </c>
      <c r="R13" s="17">
        <v>4.3800000000000002E-3</v>
      </c>
      <c r="S13" s="18">
        <v>67.666666666666671</v>
      </c>
      <c r="T13" s="18">
        <f t="shared" si="5"/>
        <v>689596.60297239921</v>
      </c>
      <c r="U13" s="18">
        <v>22</v>
      </c>
      <c r="V13" s="18">
        <f t="shared" si="6"/>
        <v>224203.82165605098</v>
      </c>
      <c r="W13" s="18">
        <v>40.333333333333336</v>
      </c>
      <c r="X13" s="18">
        <f t="shared" si="7"/>
        <v>411040.3397027601</v>
      </c>
      <c r="Y13" s="18">
        <v>5.333333333333333</v>
      </c>
      <c r="Z13" s="18">
        <f t="shared" si="8"/>
        <v>54352.441613588104</v>
      </c>
      <c r="AA13" s="18">
        <v>169.20000000000002</v>
      </c>
      <c r="AB13" s="18"/>
      <c r="AC13" s="15">
        <v>182.2</v>
      </c>
      <c r="AD13" s="15">
        <f t="shared" si="9"/>
        <v>364.4</v>
      </c>
      <c r="AE13" s="15">
        <v>100.422</v>
      </c>
      <c r="AF13" s="15">
        <v>18.593800000000002</v>
      </c>
      <c r="AG13" s="15"/>
      <c r="AH13" s="10">
        <v>50</v>
      </c>
      <c r="AI13" s="15"/>
      <c r="AJ13" s="15"/>
    </row>
    <row r="14" spans="1:37" s="3" customFormat="1">
      <c r="A14" s="8">
        <v>12</v>
      </c>
      <c r="B14" s="8" t="s">
        <v>44</v>
      </c>
      <c r="C14" s="8">
        <v>2025</v>
      </c>
      <c r="D14" s="8">
        <v>3.33</v>
      </c>
      <c r="E14" s="8">
        <v>0.26</v>
      </c>
      <c r="F14" s="8"/>
      <c r="G14" s="8">
        <v>3.54</v>
      </c>
      <c r="H14" s="9">
        <v>0.15680760687121015</v>
      </c>
      <c r="I14" s="9">
        <f t="shared" si="0"/>
        <v>15.680760687121015</v>
      </c>
      <c r="J14" s="10">
        <v>81.913333333333341</v>
      </c>
      <c r="K14" s="10">
        <f t="shared" si="1"/>
        <v>0.83478556263269643</v>
      </c>
      <c r="L14" s="8">
        <v>4</v>
      </c>
      <c r="M14" s="8">
        <f t="shared" si="2"/>
        <v>33.333333333333336</v>
      </c>
      <c r="N14" s="8">
        <v>1.0900000000000001</v>
      </c>
      <c r="O14" s="8">
        <f t="shared" si="3"/>
        <v>9.0833333333333339</v>
      </c>
      <c r="P14" s="11">
        <v>0.14649999999999996</v>
      </c>
      <c r="Q14" s="11">
        <f t="shared" si="4"/>
        <v>14.649999999999997</v>
      </c>
      <c r="R14" s="12">
        <v>3.32E-3</v>
      </c>
      <c r="S14" s="13">
        <v>122.33333333333333</v>
      </c>
      <c r="T14" s="13">
        <f t="shared" si="5"/>
        <v>1246709.1295116772</v>
      </c>
      <c r="U14" s="13">
        <v>81.666666666666671</v>
      </c>
      <c r="V14" s="13">
        <f t="shared" si="6"/>
        <v>832271.76220806793</v>
      </c>
      <c r="W14" s="13">
        <v>33</v>
      </c>
      <c r="X14" s="13">
        <f t="shared" si="7"/>
        <v>336305.7324840764</v>
      </c>
      <c r="Y14" s="13">
        <v>7.666666666666667</v>
      </c>
      <c r="Z14" s="13">
        <f t="shared" si="8"/>
        <v>78131.634819532905</v>
      </c>
      <c r="AA14" s="13">
        <v>170.5</v>
      </c>
      <c r="AB14" s="13"/>
      <c r="AC14" s="10">
        <v>27</v>
      </c>
      <c r="AD14" s="10">
        <f t="shared" si="9"/>
        <v>54</v>
      </c>
      <c r="AE14" s="10">
        <v>72.88033333333334</v>
      </c>
      <c r="AF14" s="10">
        <v>18.944666666666667</v>
      </c>
      <c r="AG14" s="10"/>
      <c r="AH14" s="10">
        <v>50</v>
      </c>
      <c r="AI14" s="10"/>
      <c r="AJ14" s="10"/>
      <c r="AK14" s="8"/>
    </row>
    <row r="15" spans="1:37" s="3" customFormat="1">
      <c r="A15" s="8">
        <v>13</v>
      </c>
      <c r="B15" s="8" t="s">
        <v>44</v>
      </c>
      <c r="C15" s="8">
        <v>2025</v>
      </c>
      <c r="D15" s="8">
        <v>4.38</v>
      </c>
      <c r="E15" s="8">
        <v>0.33</v>
      </c>
      <c r="F15" s="8"/>
      <c r="G15" s="8">
        <v>3.51</v>
      </c>
      <c r="H15" s="9">
        <v>0.23684373097214709</v>
      </c>
      <c r="I15" s="9">
        <f t="shared" si="0"/>
        <v>23.68437309721471</v>
      </c>
      <c r="J15" s="10">
        <v>85.663333333333341</v>
      </c>
      <c r="K15" s="10">
        <f t="shared" si="1"/>
        <v>0.87300212314225056</v>
      </c>
      <c r="L15" s="8">
        <v>9</v>
      </c>
      <c r="M15" s="8">
        <f t="shared" si="2"/>
        <v>75</v>
      </c>
      <c r="N15" s="8">
        <v>0.97</v>
      </c>
      <c r="O15" s="8">
        <f t="shared" si="3"/>
        <v>8.0833333333333339</v>
      </c>
      <c r="P15" s="11">
        <v>4.3999999999999928E-2</v>
      </c>
      <c r="Q15" s="11">
        <f t="shared" si="4"/>
        <v>4.3999999999999932</v>
      </c>
      <c r="R15" s="12">
        <v>1.23E-3</v>
      </c>
      <c r="S15" s="13">
        <v>115.5</v>
      </c>
      <c r="T15" s="13">
        <f t="shared" si="5"/>
        <v>1177070.0636942675</v>
      </c>
      <c r="U15" s="13">
        <v>84</v>
      </c>
      <c r="V15" s="13">
        <f t="shared" si="6"/>
        <v>856050.95541401277</v>
      </c>
      <c r="W15" s="13">
        <v>13.5</v>
      </c>
      <c r="X15" s="13">
        <f t="shared" si="7"/>
        <v>137579.61783439491</v>
      </c>
      <c r="Y15" s="13">
        <v>18</v>
      </c>
      <c r="Z15" s="13">
        <f t="shared" si="8"/>
        <v>183439.49044585985</v>
      </c>
      <c r="AA15" s="13">
        <v>231.5</v>
      </c>
      <c r="AB15" s="13"/>
      <c r="AC15" s="10">
        <v>140</v>
      </c>
      <c r="AD15" s="10">
        <f t="shared" si="9"/>
        <v>280</v>
      </c>
      <c r="AE15" s="10">
        <v>110.742</v>
      </c>
      <c r="AF15" s="10">
        <v>25.585000000000001</v>
      </c>
      <c r="AG15" s="10"/>
      <c r="AH15" s="10">
        <v>50</v>
      </c>
      <c r="AI15" s="10"/>
      <c r="AJ15" s="10"/>
      <c r="AK15" s="8"/>
    </row>
    <row r="16" spans="1:37" s="3" customFormat="1">
      <c r="A16" s="8">
        <v>14</v>
      </c>
      <c r="B16" s="8" t="s">
        <v>44</v>
      </c>
      <c r="C16" s="8">
        <v>2025</v>
      </c>
      <c r="D16" s="8">
        <v>4.05</v>
      </c>
      <c r="E16" s="8">
        <v>0.32</v>
      </c>
      <c r="F16" s="8"/>
      <c r="G16" s="8">
        <v>3.47</v>
      </c>
      <c r="H16" s="9">
        <v>0.20300924642106569</v>
      </c>
      <c r="I16" s="9">
        <f t="shared" si="0"/>
        <v>20.300924642106569</v>
      </c>
      <c r="J16" s="10">
        <v>95.570000000000007</v>
      </c>
      <c r="K16" s="10">
        <f t="shared" si="1"/>
        <v>0.97396178343949047</v>
      </c>
      <c r="L16" s="8">
        <v>0</v>
      </c>
      <c r="M16" s="8">
        <f t="shared" si="2"/>
        <v>0</v>
      </c>
      <c r="N16" s="8">
        <v>0</v>
      </c>
      <c r="O16" s="8">
        <f t="shared" si="3"/>
        <v>0</v>
      </c>
      <c r="P16" s="11">
        <v>4.049999999999998E-2</v>
      </c>
      <c r="Q16" s="11">
        <f t="shared" si="4"/>
        <v>4.049999999999998</v>
      </c>
      <c r="R16" s="12">
        <v>3.7699999999999999E-3</v>
      </c>
      <c r="S16" s="13">
        <v>34</v>
      </c>
      <c r="T16" s="13">
        <f t="shared" si="5"/>
        <v>346496.81528662419</v>
      </c>
      <c r="U16" s="13">
        <v>7.5</v>
      </c>
      <c r="V16" s="13">
        <f t="shared" si="6"/>
        <v>76433.121019108279</v>
      </c>
      <c r="W16" s="13">
        <v>5</v>
      </c>
      <c r="X16" s="13">
        <f t="shared" si="7"/>
        <v>50955.414012738853</v>
      </c>
      <c r="Y16" s="13">
        <v>4</v>
      </c>
      <c r="Z16" s="13">
        <f t="shared" si="8"/>
        <v>40764.331210191078</v>
      </c>
      <c r="AA16" s="13">
        <v>222.33333333333334</v>
      </c>
      <c r="AB16" s="13"/>
      <c r="AC16" s="10">
        <v>31.333333333333332</v>
      </c>
      <c r="AD16" s="10">
        <f t="shared" si="9"/>
        <v>62.666666666666664</v>
      </c>
      <c r="AE16" s="10">
        <v>100.29833333333333</v>
      </c>
      <c r="AF16" s="10">
        <v>34.152000000000001</v>
      </c>
      <c r="AG16" s="10"/>
      <c r="AH16" s="10">
        <v>50</v>
      </c>
      <c r="AI16" s="10"/>
      <c r="AJ16" s="10"/>
      <c r="AK16" s="8"/>
    </row>
    <row r="17" spans="1:37" s="3" customFormat="1">
      <c r="A17" s="8">
        <v>15</v>
      </c>
      <c r="B17" s="8" t="s">
        <v>44</v>
      </c>
      <c r="C17" s="8">
        <v>2025</v>
      </c>
      <c r="D17" s="8">
        <v>3.1</v>
      </c>
      <c r="E17" s="8">
        <v>0.25</v>
      </c>
      <c r="F17" s="8"/>
      <c r="G17" s="8">
        <v>3.5</v>
      </c>
      <c r="H17" s="9">
        <v>0.22380437855993457</v>
      </c>
      <c r="I17" s="9">
        <f t="shared" si="0"/>
        <v>22.380437855993456</v>
      </c>
      <c r="J17" s="10">
        <v>70.775000000000006</v>
      </c>
      <c r="K17" s="10">
        <f t="shared" si="1"/>
        <v>0.72127388535031856</v>
      </c>
      <c r="L17" s="8">
        <v>6</v>
      </c>
      <c r="M17" s="8">
        <f t="shared" si="2"/>
        <v>50</v>
      </c>
      <c r="N17" s="8">
        <v>0.65</v>
      </c>
      <c r="O17" s="8">
        <f t="shared" si="3"/>
        <v>5.416666666666667</v>
      </c>
      <c r="P17" s="11">
        <v>0.21199999999999997</v>
      </c>
      <c r="Q17" s="11">
        <f t="shared" si="4"/>
        <v>21.199999999999996</v>
      </c>
      <c r="R17" s="12">
        <v>8.8199999999999997E-3</v>
      </c>
      <c r="S17" s="13">
        <v>55.5</v>
      </c>
      <c r="T17" s="13">
        <f t="shared" si="5"/>
        <v>565605.0955414013</v>
      </c>
      <c r="U17" s="13">
        <v>40.5</v>
      </c>
      <c r="V17" s="13">
        <f t="shared" si="6"/>
        <v>412738.85350318474</v>
      </c>
      <c r="W17" s="13">
        <v>5.5</v>
      </c>
      <c r="X17" s="13">
        <f t="shared" si="7"/>
        <v>56050.955414012744</v>
      </c>
      <c r="Y17" s="13">
        <v>9</v>
      </c>
      <c r="Z17" s="13">
        <f t="shared" si="8"/>
        <v>91719.745222929923</v>
      </c>
      <c r="AA17" s="13">
        <v>130.00000000000003</v>
      </c>
      <c r="AB17" s="13"/>
      <c r="AC17" s="10">
        <v>119</v>
      </c>
      <c r="AD17" s="10">
        <f t="shared" si="9"/>
        <v>238</v>
      </c>
      <c r="AE17" s="10">
        <v>100.23400000000001</v>
      </c>
      <c r="AF17" s="10">
        <v>14.298999999999999</v>
      </c>
      <c r="AG17" s="10"/>
      <c r="AH17" s="10">
        <v>50</v>
      </c>
      <c r="AI17" s="10"/>
      <c r="AJ17" s="10"/>
      <c r="AK17" s="8"/>
    </row>
    <row r="18" spans="1:37" s="3" customFormat="1">
      <c r="A18" s="3">
        <v>16</v>
      </c>
      <c r="B18" s="3" t="s">
        <v>43</v>
      </c>
      <c r="C18" s="3">
        <v>2024</v>
      </c>
      <c r="D18" s="3">
        <v>1.75</v>
      </c>
      <c r="E18" s="3">
        <v>0.17</v>
      </c>
      <c r="H18" s="14">
        <v>0.22456461961503188</v>
      </c>
      <c r="I18" s="14">
        <f t="shared" si="0"/>
        <v>22.456461961503187</v>
      </c>
      <c r="K18" s="15">
        <f t="shared" si="1"/>
        <v>0</v>
      </c>
      <c r="L18" s="3">
        <v>56</v>
      </c>
      <c r="M18" s="3">
        <f t="shared" si="2"/>
        <v>466.66666666666669</v>
      </c>
      <c r="N18" s="3">
        <v>10.6</v>
      </c>
      <c r="O18" s="3">
        <f t="shared" si="3"/>
        <v>88.333333333333329</v>
      </c>
      <c r="Q18" s="16">
        <f t="shared" si="4"/>
        <v>0</v>
      </c>
      <c r="R18" s="17">
        <v>9.11E-3</v>
      </c>
      <c r="S18" s="3">
        <v>8</v>
      </c>
      <c r="T18" s="18">
        <f t="shared" si="5"/>
        <v>81528.662420382156</v>
      </c>
      <c r="U18" s="3">
        <v>3</v>
      </c>
      <c r="V18" s="18">
        <f t="shared" si="6"/>
        <v>30573.248407643314</v>
      </c>
      <c r="W18" s="3">
        <v>5</v>
      </c>
      <c r="X18" s="18">
        <f t="shared" si="7"/>
        <v>50955.414012738853</v>
      </c>
      <c r="Y18" s="3">
        <v>0</v>
      </c>
      <c r="Z18" s="18">
        <f t="shared" si="8"/>
        <v>0</v>
      </c>
      <c r="AA18" s="18">
        <v>169.23556565999999</v>
      </c>
      <c r="AB18" s="18"/>
      <c r="AC18" s="3">
        <v>84</v>
      </c>
      <c r="AD18" s="15">
        <f t="shared" si="9"/>
        <v>168</v>
      </c>
      <c r="AE18" s="15">
        <v>65.224000000000004</v>
      </c>
      <c r="AF18" s="15">
        <v>13.547000000000001</v>
      </c>
      <c r="AG18" s="15"/>
      <c r="AH18" s="10">
        <v>50</v>
      </c>
      <c r="AI18" s="15"/>
      <c r="AJ18" s="15"/>
    </row>
    <row r="19" spans="1:37" s="3" customFormat="1">
      <c r="A19" s="3">
        <v>17</v>
      </c>
      <c r="B19" s="3" t="s">
        <v>43</v>
      </c>
      <c r="C19" s="3">
        <v>2024</v>
      </c>
      <c r="D19" s="3">
        <v>2.39</v>
      </c>
      <c r="E19" s="3">
        <v>0.21000000000000002</v>
      </c>
      <c r="H19" s="14">
        <v>0.15926157697121415</v>
      </c>
      <c r="I19" s="14">
        <f t="shared" si="0"/>
        <v>15.926157697121415</v>
      </c>
      <c r="K19" s="15">
        <f t="shared" si="1"/>
        <v>0</v>
      </c>
      <c r="L19" s="3">
        <v>54</v>
      </c>
      <c r="M19" s="3">
        <f t="shared" si="2"/>
        <v>450</v>
      </c>
      <c r="N19" s="3">
        <v>6.78</v>
      </c>
      <c r="O19" s="3">
        <f t="shared" si="3"/>
        <v>56.500000000000007</v>
      </c>
      <c r="Q19" s="16">
        <f t="shared" si="4"/>
        <v>0</v>
      </c>
      <c r="R19" s="17">
        <v>8.8749999999999992E-3</v>
      </c>
      <c r="S19" s="3">
        <v>27</v>
      </c>
      <c r="T19" s="18">
        <f t="shared" si="5"/>
        <v>275159.23566878983</v>
      </c>
      <c r="U19" s="3">
        <v>14</v>
      </c>
      <c r="V19" s="18">
        <f t="shared" si="6"/>
        <v>142675.15923566878</v>
      </c>
      <c r="W19" s="3">
        <v>11</v>
      </c>
      <c r="X19" s="18">
        <f t="shared" si="7"/>
        <v>112101.91082802549</v>
      </c>
      <c r="Y19" s="3">
        <v>2</v>
      </c>
      <c r="Z19" s="18">
        <f t="shared" si="8"/>
        <v>20382.165605095539</v>
      </c>
      <c r="AA19" s="18">
        <v>120.30811786500001</v>
      </c>
      <c r="AB19" s="18"/>
      <c r="AC19" s="3">
        <v>174</v>
      </c>
      <c r="AD19" s="15">
        <f t="shared" si="9"/>
        <v>348</v>
      </c>
      <c r="AE19" s="15">
        <v>82.552000000000007</v>
      </c>
      <c r="AF19" s="15">
        <v>16.373999999999999</v>
      </c>
      <c r="AG19" s="15"/>
      <c r="AH19" s="10">
        <v>50</v>
      </c>
      <c r="AI19" s="15"/>
      <c r="AJ19" s="15"/>
    </row>
    <row r="20" spans="1:37" s="3" customFormat="1">
      <c r="A20" s="3">
        <v>18</v>
      </c>
      <c r="B20" s="3" t="s">
        <v>43</v>
      </c>
      <c r="C20" s="3">
        <v>2024</v>
      </c>
      <c r="D20" s="3">
        <v>1.38</v>
      </c>
      <c r="E20" s="3">
        <v>0.14000000000000001</v>
      </c>
      <c r="H20" s="14">
        <v>0.13666870042708984</v>
      </c>
      <c r="I20" s="14">
        <f t="shared" si="0"/>
        <v>13.666870042708984</v>
      </c>
      <c r="K20" s="15">
        <f t="shared" si="1"/>
        <v>0</v>
      </c>
      <c r="L20" s="3">
        <v>14</v>
      </c>
      <c r="M20" s="3">
        <f t="shared" si="2"/>
        <v>116.66666666666667</v>
      </c>
      <c r="N20" s="3">
        <v>3.18</v>
      </c>
      <c r="O20" s="3">
        <f t="shared" si="3"/>
        <v>26.500000000000004</v>
      </c>
      <c r="Q20" s="16">
        <f t="shared" si="4"/>
        <v>0</v>
      </c>
      <c r="R20" s="17">
        <v>1.7510000000000001E-2</v>
      </c>
      <c r="S20" s="3">
        <v>1</v>
      </c>
      <c r="T20" s="18">
        <f t="shared" si="5"/>
        <v>10191.082802547769</v>
      </c>
      <c r="U20" s="3">
        <v>1</v>
      </c>
      <c r="V20" s="18">
        <f t="shared" si="6"/>
        <v>10191.082802547769</v>
      </c>
      <c r="W20" s="3">
        <v>0</v>
      </c>
      <c r="X20" s="18">
        <f t="shared" si="7"/>
        <v>0</v>
      </c>
      <c r="Y20" s="3">
        <v>0</v>
      </c>
      <c r="Z20" s="18">
        <f t="shared" si="8"/>
        <v>0</v>
      </c>
      <c r="AA20" s="18">
        <v>60.190075625999988</v>
      </c>
      <c r="AB20" s="18"/>
      <c r="AC20" s="3">
        <v>272</v>
      </c>
      <c r="AD20" s="15">
        <f t="shared" si="9"/>
        <v>544</v>
      </c>
      <c r="AE20" s="15">
        <v>55.939</v>
      </c>
      <c r="AF20" s="15">
        <v>6.7069999999999999</v>
      </c>
      <c r="AG20" s="15"/>
      <c r="AH20" s="10">
        <v>50</v>
      </c>
      <c r="AI20" s="15"/>
      <c r="AJ20" s="15"/>
    </row>
    <row r="21" spans="1:37" s="3" customFormat="1">
      <c r="A21" s="3">
        <v>19</v>
      </c>
      <c r="B21" s="3" t="s">
        <v>43</v>
      </c>
      <c r="C21" s="3">
        <v>2024</v>
      </c>
      <c r="D21" s="3">
        <v>1.7100000000000002</v>
      </c>
      <c r="E21" s="3">
        <v>0.16</v>
      </c>
      <c r="H21" s="14">
        <v>0.22867110688233452</v>
      </c>
      <c r="I21" s="14">
        <f t="shared" si="0"/>
        <v>22.867110688233453</v>
      </c>
      <c r="K21" s="15">
        <f t="shared" si="1"/>
        <v>0</v>
      </c>
      <c r="L21" s="3">
        <v>44</v>
      </c>
      <c r="M21" s="3">
        <f t="shared" si="2"/>
        <v>366.66666666666669</v>
      </c>
      <c r="N21" s="3">
        <v>8.76</v>
      </c>
      <c r="O21" s="3">
        <f t="shared" si="3"/>
        <v>73</v>
      </c>
      <c r="Q21" s="16">
        <f t="shared" si="4"/>
        <v>0</v>
      </c>
      <c r="R21" s="17">
        <v>6.659E-3</v>
      </c>
      <c r="S21" s="3">
        <v>43</v>
      </c>
      <c r="T21" s="18">
        <f t="shared" si="5"/>
        <v>438216.56050955417</v>
      </c>
      <c r="U21" s="3">
        <v>40</v>
      </c>
      <c r="V21" s="18">
        <f t="shared" si="6"/>
        <v>407643.31210191082</v>
      </c>
      <c r="W21" s="3">
        <v>3</v>
      </c>
      <c r="X21" s="18">
        <f t="shared" si="7"/>
        <v>30573.248407643314</v>
      </c>
      <c r="Y21" s="3">
        <v>0</v>
      </c>
      <c r="Z21" s="18">
        <f t="shared" si="8"/>
        <v>0</v>
      </c>
      <c r="AA21" s="18">
        <v>145.35676359000001</v>
      </c>
      <c r="AB21" s="18"/>
      <c r="AC21" s="3">
        <v>153</v>
      </c>
      <c r="AD21" s="15">
        <f t="shared" si="9"/>
        <v>306</v>
      </c>
      <c r="AE21" s="15">
        <v>81.656000000000006</v>
      </c>
      <c r="AF21" s="15">
        <v>16.376999999999999</v>
      </c>
      <c r="AG21" s="15"/>
      <c r="AH21" s="10">
        <v>50</v>
      </c>
      <c r="AI21" s="15"/>
      <c r="AJ21" s="15"/>
    </row>
    <row r="22" spans="1:37" s="3" customFormat="1">
      <c r="A22" s="3">
        <v>20</v>
      </c>
      <c r="B22" s="3" t="s">
        <v>44</v>
      </c>
      <c r="C22" s="3">
        <v>2024</v>
      </c>
      <c r="D22" s="3">
        <v>2.2000000000000002</v>
      </c>
      <c r="E22" s="3">
        <v>0.2</v>
      </c>
      <c r="H22" s="14">
        <v>0.28716216216216228</v>
      </c>
      <c r="I22" s="14">
        <f t="shared" si="0"/>
        <v>28.716216216216228</v>
      </c>
      <c r="K22" s="15">
        <f t="shared" si="1"/>
        <v>0</v>
      </c>
      <c r="L22" s="3">
        <v>4</v>
      </c>
      <c r="M22" s="3">
        <f t="shared" si="2"/>
        <v>33.333333333333336</v>
      </c>
      <c r="N22" s="3">
        <v>0.18</v>
      </c>
      <c r="O22" s="3">
        <f t="shared" si="3"/>
        <v>1.5</v>
      </c>
      <c r="Q22" s="16">
        <f t="shared" si="4"/>
        <v>0</v>
      </c>
      <c r="R22" s="17">
        <v>1.2290000000000001E-2</v>
      </c>
      <c r="S22" s="3">
        <v>6</v>
      </c>
      <c r="T22" s="18">
        <f t="shared" si="5"/>
        <v>61146.496815286628</v>
      </c>
      <c r="U22" s="3">
        <v>4</v>
      </c>
      <c r="V22" s="18">
        <f t="shared" si="6"/>
        <v>40764.331210191078</v>
      </c>
      <c r="W22" s="3">
        <v>1</v>
      </c>
      <c r="X22" s="18">
        <f t="shared" si="7"/>
        <v>10191.082802547769</v>
      </c>
      <c r="Y22" s="3">
        <v>1</v>
      </c>
      <c r="Z22" s="18">
        <f t="shared" si="8"/>
        <v>10191.082802547769</v>
      </c>
      <c r="AA22" s="18">
        <v>65.536068674999996</v>
      </c>
      <c r="AB22" s="18"/>
      <c r="AC22" s="3">
        <v>35</v>
      </c>
      <c r="AD22" s="15">
        <f t="shared" si="9"/>
        <v>70</v>
      </c>
      <c r="AE22" s="15">
        <v>66.64200000000001</v>
      </c>
      <c r="AF22" s="15">
        <v>16.660999999999998</v>
      </c>
      <c r="AG22" s="15"/>
      <c r="AH22" s="10">
        <v>50</v>
      </c>
      <c r="AI22" s="15"/>
      <c r="AJ22" s="15"/>
    </row>
    <row r="23" spans="1:37" s="3" customFormat="1">
      <c r="A23" s="3">
        <v>21</v>
      </c>
      <c r="B23" s="3" t="s">
        <v>44</v>
      </c>
      <c r="C23" s="3">
        <v>2024</v>
      </c>
      <c r="D23" s="3">
        <v>3.09</v>
      </c>
      <c r="E23" s="3">
        <v>0.3</v>
      </c>
      <c r="H23" s="14">
        <v>0.25470514429109176</v>
      </c>
      <c r="I23" s="14">
        <f t="shared" si="0"/>
        <v>25.470514429109176</v>
      </c>
      <c r="K23" s="15">
        <f t="shared" si="1"/>
        <v>0</v>
      </c>
      <c r="L23" s="3">
        <v>6</v>
      </c>
      <c r="M23" s="3">
        <f t="shared" si="2"/>
        <v>50</v>
      </c>
      <c r="N23" s="3">
        <v>2.76</v>
      </c>
      <c r="O23" s="3">
        <f t="shared" si="3"/>
        <v>23</v>
      </c>
      <c r="Q23" s="16">
        <f t="shared" si="4"/>
        <v>0</v>
      </c>
      <c r="R23" s="17">
        <v>9.8989999999999998E-3</v>
      </c>
      <c r="S23" s="3">
        <v>18</v>
      </c>
      <c r="T23" s="18">
        <f t="shared" si="5"/>
        <v>183439.49044585985</v>
      </c>
      <c r="U23" s="3">
        <v>0</v>
      </c>
      <c r="V23" s="18">
        <f t="shared" si="6"/>
        <v>0</v>
      </c>
      <c r="W23" s="3">
        <v>10</v>
      </c>
      <c r="X23" s="18">
        <f t="shared" si="7"/>
        <v>101910.82802547771</v>
      </c>
      <c r="Y23" s="3">
        <v>8</v>
      </c>
      <c r="Z23" s="18">
        <f t="shared" si="8"/>
        <v>81528.662420382156</v>
      </c>
      <c r="AA23" s="18">
        <v>125.717500452</v>
      </c>
      <c r="AB23" s="18"/>
      <c r="AC23" s="3">
        <v>67</v>
      </c>
      <c r="AD23" s="15">
        <f t="shared" si="9"/>
        <v>134</v>
      </c>
      <c r="AE23" s="15">
        <v>89.706000000000003</v>
      </c>
      <c r="AF23" s="15">
        <v>18.736000000000001</v>
      </c>
      <c r="AG23" s="15"/>
      <c r="AH23" s="10">
        <v>50</v>
      </c>
      <c r="AI23" s="15"/>
      <c r="AJ23" s="15"/>
    </row>
    <row r="24" spans="1:37" s="3" customFormat="1">
      <c r="A24" s="3">
        <v>22</v>
      </c>
      <c r="B24" s="3" t="s">
        <v>44</v>
      </c>
      <c r="C24" s="3">
        <v>2024</v>
      </c>
      <c r="D24" s="3">
        <v>3.3</v>
      </c>
      <c r="E24" s="3">
        <v>0.3</v>
      </c>
      <c r="H24" s="14">
        <v>0.30668841761827048</v>
      </c>
      <c r="I24" s="14">
        <f t="shared" si="0"/>
        <v>30.668841761827046</v>
      </c>
      <c r="K24" s="15">
        <f t="shared" si="1"/>
        <v>0</v>
      </c>
      <c r="L24" s="3">
        <v>0</v>
      </c>
      <c r="M24" s="3">
        <f t="shared" si="2"/>
        <v>0</v>
      </c>
      <c r="N24" s="3">
        <v>0</v>
      </c>
      <c r="O24" s="3">
        <f t="shared" si="3"/>
        <v>0</v>
      </c>
      <c r="Q24" s="16">
        <f t="shared" si="4"/>
        <v>0</v>
      </c>
      <c r="R24" s="17">
        <v>1.5350000000000001E-2</v>
      </c>
      <c r="S24" s="3">
        <v>5</v>
      </c>
      <c r="T24" s="18">
        <f t="shared" si="5"/>
        <v>50955.414012738853</v>
      </c>
      <c r="U24" s="3">
        <v>0</v>
      </c>
      <c r="V24" s="18">
        <f t="shared" si="6"/>
        <v>0</v>
      </c>
      <c r="W24" s="3">
        <v>4</v>
      </c>
      <c r="X24" s="18">
        <f t="shared" si="7"/>
        <v>40764.331210191078</v>
      </c>
      <c r="Y24" s="3">
        <v>1</v>
      </c>
      <c r="Z24" s="18">
        <f t="shared" si="8"/>
        <v>10191.082802547769</v>
      </c>
      <c r="AA24" s="18">
        <v>124.10635293300001</v>
      </c>
      <c r="AB24" s="18"/>
      <c r="AC24" s="3">
        <v>11</v>
      </c>
      <c r="AD24" s="15">
        <f t="shared" si="9"/>
        <v>22</v>
      </c>
      <c r="AE24" s="15">
        <v>92.912000000000006</v>
      </c>
      <c r="AF24" s="15">
        <v>23.727999999999998</v>
      </c>
      <c r="AG24" s="15"/>
      <c r="AH24" s="10">
        <v>50</v>
      </c>
      <c r="AI24" s="15"/>
      <c r="AJ24" s="15"/>
    </row>
    <row r="25" spans="1:37" s="3" customFormat="1">
      <c r="A25" s="3">
        <v>23</v>
      </c>
      <c r="B25" s="3" t="s">
        <v>44</v>
      </c>
      <c r="C25" s="3">
        <v>2024</v>
      </c>
      <c r="D25" s="3">
        <v>2.93</v>
      </c>
      <c r="E25" s="3">
        <v>0.25</v>
      </c>
      <c r="H25" s="14">
        <v>0.20452488687782805</v>
      </c>
      <c r="I25" s="14">
        <f t="shared" si="0"/>
        <v>20.452488687782804</v>
      </c>
      <c r="K25" s="15">
        <f t="shared" si="1"/>
        <v>0</v>
      </c>
      <c r="L25" s="3">
        <v>6</v>
      </c>
      <c r="M25" s="3">
        <f t="shared" si="2"/>
        <v>50</v>
      </c>
      <c r="N25" s="3">
        <v>1.08</v>
      </c>
      <c r="O25" s="3">
        <f t="shared" si="3"/>
        <v>9.0000000000000018</v>
      </c>
      <c r="Q25" s="16">
        <f t="shared" si="4"/>
        <v>0</v>
      </c>
      <c r="R25" s="17">
        <v>6.8900000000000003E-3</v>
      </c>
      <c r="S25" s="3">
        <v>14</v>
      </c>
      <c r="T25" s="18">
        <f t="shared" si="5"/>
        <v>142675.15923566878</v>
      </c>
      <c r="U25" s="3">
        <v>6</v>
      </c>
      <c r="V25" s="18">
        <f t="shared" si="6"/>
        <v>61146.496815286628</v>
      </c>
      <c r="W25" s="3">
        <v>8</v>
      </c>
      <c r="X25" s="18">
        <f t="shared" si="7"/>
        <v>81528.662420382156</v>
      </c>
      <c r="Y25" s="3">
        <v>0</v>
      </c>
      <c r="Z25" s="18">
        <f t="shared" si="8"/>
        <v>0</v>
      </c>
      <c r="AA25" s="18">
        <v>145.08047818800003</v>
      </c>
      <c r="AB25" s="18"/>
      <c r="AC25" s="3">
        <v>39</v>
      </c>
      <c r="AD25" s="15">
        <f t="shared" si="9"/>
        <v>78</v>
      </c>
      <c r="AE25" s="15">
        <v>103.84400000000001</v>
      </c>
      <c r="AF25" s="15">
        <v>22.849</v>
      </c>
      <c r="AG25" s="15"/>
      <c r="AH25" s="10">
        <v>50</v>
      </c>
      <c r="AI25" s="15"/>
      <c r="AJ25" s="15"/>
    </row>
    <row r="26" spans="1:37" ht="50.45" customHeight="1">
      <c r="D26" s="23"/>
      <c r="E26" s="23"/>
      <c r="J26" s="6"/>
      <c r="K26" s="6"/>
      <c r="L26" s="24"/>
      <c r="M26" s="24"/>
      <c r="N26" s="24"/>
      <c r="O26" s="4"/>
      <c r="S26" s="24"/>
      <c r="T26" s="24"/>
      <c r="U26" s="24"/>
      <c r="V26" s="24"/>
      <c r="W26" s="24"/>
      <c r="X26" s="24"/>
      <c r="Y26" s="24"/>
      <c r="Z26" s="4"/>
      <c r="AA26" s="5"/>
      <c r="AB26" s="5"/>
      <c r="AC26" s="6"/>
      <c r="AD26" s="6"/>
      <c r="AE26" s="23"/>
      <c r="AF26" s="23"/>
      <c r="AG26" s="5"/>
      <c r="AH26" s="5"/>
      <c r="AI26" s="5"/>
      <c r="AJ26" s="5"/>
    </row>
  </sheetData>
  <mergeCells count="12">
    <mergeCell ref="A1:A2"/>
    <mergeCell ref="B1:B2"/>
    <mergeCell ref="C1:C2"/>
    <mergeCell ref="L1:N1"/>
    <mergeCell ref="D1:K1"/>
    <mergeCell ref="S1:Y1"/>
    <mergeCell ref="D26:E26"/>
    <mergeCell ref="L26:N26"/>
    <mergeCell ref="S26:Y26"/>
    <mergeCell ref="AE26:AF26"/>
    <mergeCell ref="P1:R1"/>
    <mergeCell ref="AE1:AJ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5362-D69F-4F28-B7BC-C76EEC433CAA}">
  <dimension ref="A1:G22"/>
  <sheetViews>
    <sheetView zoomScale="145" zoomScaleNormal="145" workbookViewId="0">
      <selection activeCell="B1" sqref="B1"/>
    </sheetView>
  </sheetViews>
  <sheetFormatPr defaultRowHeight="14.45"/>
  <cols>
    <col min="3" max="3" width="22.28515625" customWidth="1"/>
    <col min="4" max="4" width="21.42578125" customWidth="1"/>
    <col min="5" max="5" width="20.7109375" customWidth="1"/>
    <col min="6" max="6" width="14.7109375" customWidth="1"/>
    <col min="7" max="7" width="16.140625" customWidth="1"/>
  </cols>
  <sheetData>
    <row r="1" spans="1:7" ht="15">
      <c r="A1" t="s">
        <v>45</v>
      </c>
      <c r="B1" s="22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hidden="1">
      <c r="A2" t="s">
        <v>52</v>
      </c>
      <c r="B2">
        <v>1</v>
      </c>
      <c r="C2" s="1" t="s">
        <v>53</v>
      </c>
      <c r="D2" s="1" t="s">
        <v>54</v>
      </c>
      <c r="F2" s="1" t="s">
        <v>55</v>
      </c>
    </row>
    <row r="3" spans="1:7" hidden="1">
      <c r="A3" t="s">
        <v>56</v>
      </c>
      <c r="B3">
        <v>2</v>
      </c>
      <c r="D3" s="1" t="s">
        <v>54</v>
      </c>
      <c r="E3" s="1" t="s">
        <v>57</v>
      </c>
      <c r="F3" s="1" t="s">
        <v>55</v>
      </c>
    </row>
    <row r="4" spans="1:7" hidden="1">
      <c r="A4" t="s">
        <v>58</v>
      </c>
      <c r="B4">
        <v>3</v>
      </c>
      <c r="C4" s="1" t="s">
        <v>53</v>
      </c>
      <c r="E4" s="1" t="s">
        <v>57</v>
      </c>
      <c r="G4" s="1" t="s">
        <v>59</v>
      </c>
    </row>
    <row r="5" spans="1:7" hidden="1">
      <c r="A5" t="s">
        <v>60</v>
      </c>
      <c r="B5">
        <v>4</v>
      </c>
      <c r="D5" s="1" t="s">
        <v>54</v>
      </c>
      <c r="E5" s="1" t="s">
        <v>57</v>
      </c>
      <c r="G5" s="1" t="s">
        <v>59</v>
      </c>
    </row>
    <row r="6" spans="1:7" hidden="1">
      <c r="A6" t="s">
        <v>61</v>
      </c>
      <c r="B6">
        <v>5</v>
      </c>
      <c r="C6" s="2" t="s">
        <v>53</v>
      </c>
      <c r="D6" s="2" t="s">
        <v>62</v>
      </c>
      <c r="E6" s="2" t="s">
        <v>57</v>
      </c>
    </row>
    <row r="7" spans="1:7">
      <c r="A7" t="s">
        <v>63</v>
      </c>
      <c r="B7">
        <v>6</v>
      </c>
      <c r="C7" s="2" t="s">
        <v>53</v>
      </c>
      <c r="D7" s="2" t="s">
        <v>64</v>
      </c>
      <c r="E7" s="2" t="s">
        <v>65</v>
      </c>
    </row>
    <row r="8" spans="1:7" hidden="1">
      <c r="A8" t="s">
        <v>66</v>
      </c>
      <c r="B8">
        <v>7</v>
      </c>
      <c r="C8" s="2" t="s">
        <v>67</v>
      </c>
      <c r="D8" s="2" t="s">
        <v>68</v>
      </c>
      <c r="E8" s="2" t="s">
        <v>69</v>
      </c>
    </row>
    <row r="9" spans="1:7" hidden="1">
      <c r="A9" t="s">
        <v>70</v>
      </c>
      <c r="B9">
        <v>8</v>
      </c>
      <c r="C9" s="2" t="s">
        <v>67</v>
      </c>
      <c r="D9" s="2" t="s">
        <v>71</v>
      </c>
      <c r="E9" s="2" t="s">
        <v>72</v>
      </c>
    </row>
    <row r="10" spans="1:7" hidden="1">
      <c r="A10" t="s">
        <v>73</v>
      </c>
      <c r="B10">
        <v>9</v>
      </c>
      <c r="C10" s="2" t="s">
        <v>67</v>
      </c>
      <c r="D10" s="2" t="s">
        <v>74</v>
      </c>
      <c r="E10" s="2" t="s">
        <v>75</v>
      </c>
    </row>
    <row r="11" spans="1:7" hidden="1">
      <c r="A11" t="s">
        <v>76</v>
      </c>
      <c r="B11">
        <v>10</v>
      </c>
      <c r="C11" s="2" t="s">
        <v>67</v>
      </c>
      <c r="D11" s="2" t="s">
        <v>54</v>
      </c>
      <c r="E11" s="2" t="s">
        <v>77</v>
      </c>
    </row>
    <row r="12" spans="1:7" hidden="1">
      <c r="A12" t="s">
        <v>78</v>
      </c>
      <c r="B12">
        <v>11</v>
      </c>
      <c r="C12" s="2" t="s">
        <v>67</v>
      </c>
      <c r="D12" s="2" t="s">
        <v>54</v>
      </c>
      <c r="E12" s="2" t="s">
        <v>65</v>
      </c>
    </row>
    <row r="13" spans="1:7" hidden="1">
      <c r="A13" t="s">
        <v>79</v>
      </c>
      <c r="B13">
        <v>12</v>
      </c>
      <c r="C13" s="2" t="s">
        <v>80</v>
      </c>
      <c r="D13" s="2" t="s">
        <v>62</v>
      </c>
      <c r="E13" s="2" t="s">
        <v>69</v>
      </c>
    </row>
    <row r="14" spans="1:7" hidden="1">
      <c r="A14" t="s">
        <v>81</v>
      </c>
      <c r="B14">
        <v>13</v>
      </c>
      <c r="C14" s="2" t="s">
        <v>80</v>
      </c>
      <c r="D14" s="2" t="s">
        <v>64</v>
      </c>
      <c r="E14" s="2" t="s">
        <v>72</v>
      </c>
    </row>
    <row r="15" spans="1:7" hidden="1">
      <c r="A15" t="s">
        <v>82</v>
      </c>
      <c r="B15">
        <v>14</v>
      </c>
      <c r="C15" s="2" t="s">
        <v>80</v>
      </c>
      <c r="D15" s="2" t="s">
        <v>68</v>
      </c>
      <c r="E15" s="2" t="s">
        <v>75</v>
      </c>
    </row>
    <row r="16" spans="1:7" hidden="1">
      <c r="A16" t="s">
        <v>83</v>
      </c>
      <c r="B16">
        <v>15</v>
      </c>
      <c r="C16" s="2" t="s">
        <v>80</v>
      </c>
      <c r="D16" s="2" t="s">
        <v>71</v>
      </c>
      <c r="E16" s="2" t="s">
        <v>77</v>
      </c>
    </row>
    <row r="17" spans="1:5" hidden="1">
      <c r="A17" t="s">
        <v>84</v>
      </c>
      <c r="B17">
        <v>16</v>
      </c>
      <c r="C17" s="2" t="s">
        <v>80</v>
      </c>
      <c r="D17" s="2" t="s">
        <v>74</v>
      </c>
      <c r="E17" s="2" t="s">
        <v>65</v>
      </c>
    </row>
    <row r="18" spans="1:5" hidden="1">
      <c r="A18" t="s">
        <v>85</v>
      </c>
      <c r="B18">
        <v>17</v>
      </c>
      <c r="C18" s="2" t="s">
        <v>86</v>
      </c>
      <c r="D18" s="2" t="s">
        <v>62</v>
      </c>
      <c r="E18" s="2" t="s">
        <v>69</v>
      </c>
    </row>
    <row r="19" spans="1:5" hidden="1">
      <c r="A19" t="s">
        <v>87</v>
      </c>
      <c r="B19">
        <v>18</v>
      </c>
      <c r="C19" s="2" t="s">
        <v>86</v>
      </c>
      <c r="D19" s="2" t="s">
        <v>64</v>
      </c>
      <c r="E19" s="2" t="s">
        <v>72</v>
      </c>
    </row>
    <row r="20" spans="1:5" hidden="1">
      <c r="A20" t="s">
        <v>88</v>
      </c>
      <c r="B20">
        <v>19</v>
      </c>
      <c r="C20" s="2" t="s">
        <v>86</v>
      </c>
      <c r="D20" s="2" t="s">
        <v>68</v>
      </c>
      <c r="E20" s="2" t="s">
        <v>75</v>
      </c>
    </row>
    <row r="21" spans="1:5" hidden="1">
      <c r="A21" t="s">
        <v>89</v>
      </c>
      <c r="B21">
        <v>20</v>
      </c>
      <c r="C21" s="2" t="s">
        <v>90</v>
      </c>
      <c r="D21" s="2" t="s">
        <v>71</v>
      </c>
      <c r="E21" s="2" t="s">
        <v>77</v>
      </c>
    </row>
    <row r="22" spans="1:5" hidden="1">
      <c r="A22" t="s">
        <v>91</v>
      </c>
      <c r="B22">
        <v>21</v>
      </c>
      <c r="C22" s="2" t="s">
        <v>90</v>
      </c>
      <c r="D22" s="2" t="s">
        <v>74</v>
      </c>
      <c r="E22" s="2" t="s">
        <v>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7CA9-6388-4DB5-AAB6-91A2B64027C2}">
  <dimension ref="A1:AK26"/>
  <sheetViews>
    <sheetView topLeftCell="V1" zoomScale="130" zoomScaleNormal="130" workbookViewId="0">
      <selection activeCell="AK3" sqref="AK3"/>
    </sheetView>
  </sheetViews>
  <sheetFormatPr defaultRowHeight="15" customHeight="1"/>
  <cols>
    <col min="8" max="9" width="15" customWidth="1"/>
    <col min="10" max="11" width="13.5703125" customWidth="1"/>
    <col min="12" max="13" width="13" customWidth="1"/>
    <col min="14" max="15" width="15.28515625" customWidth="1"/>
    <col min="16" max="17" width="14.85546875" customWidth="1"/>
    <col min="18" max="18" width="12.7109375" customWidth="1"/>
    <col min="19" max="20" width="15.7109375" customWidth="1"/>
    <col min="21" max="22" width="11.42578125" customWidth="1"/>
    <col min="23" max="24" width="13.28515625" customWidth="1"/>
    <col min="25" max="26" width="15" customWidth="1"/>
    <col min="27" max="28" width="16.28515625" customWidth="1"/>
    <col min="29" max="30" width="14.7109375" customWidth="1"/>
    <col min="31" max="31" width="10.28515625" customWidth="1"/>
    <col min="32" max="36" width="10.7109375" customWidth="1"/>
  </cols>
  <sheetData>
    <row r="1" spans="1:37" ht="39" customHeight="1">
      <c r="A1" s="24" t="s">
        <v>0</v>
      </c>
      <c r="B1" s="24" t="s">
        <v>1</v>
      </c>
      <c r="C1" s="24" t="s">
        <v>2</v>
      </c>
      <c r="D1" s="24" t="s">
        <v>3</v>
      </c>
      <c r="E1" s="24"/>
      <c r="F1" s="24"/>
      <c r="G1" s="24"/>
      <c r="H1" s="24"/>
      <c r="I1" s="24"/>
      <c r="J1" s="24"/>
      <c r="K1" s="24"/>
      <c r="L1" s="23" t="s">
        <v>4</v>
      </c>
      <c r="M1" s="23"/>
      <c r="N1" s="23"/>
      <c r="O1" s="5"/>
      <c r="P1" s="24" t="s">
        <v>5</v>
      </c>
      <c r="Q1" s="24"/>
      <c r="R1" s="24"/>
      <c r="S1" s="23" t="s">
        <v>6</v>
      </c>
      <c r="T1" s="23"/>
      <c r="U1" s="23"/>
      <c r="V1" s="23"/>
      <c r="W1" s="23"/>
      <c r="X1" s="23"/>
      <c r="Y1" s="23"/>
      <c r="Z1" s="5"/>
      <c r="AA1" t="s">
        <v>7</v>
      </c>
      <c r="AC1" s="6" t="s">
        <v>8</v>
      </c>
      <c r="AD1" s="6"/>
      <c r="AE1" s="23" t="s">
        <v>9</v>
      </c>
      <c r="AF1" s="23"/>
      <c r="AG1" s="23"/>
      <c r="AH1" s="23"/>
      <c r="AI1" s="23"/>
      <c r="AJ1" s="23"/>
    </row>
    <row r="2" spans="1:37" ht="81.599999999999994" customHeight="1">
      <c r="A2" s="24"/>
      <c r="B2" s="24"/>
      <c r="C2" s="24"/>
      <c r="D2" s="6" t="s">
        <v>10</v>
      </c>
      <c r="E2" s="6" t="s">
        <v>11</v>
      </c>
      <c r="F2" s="7" t="s">
        <v>12</v>
      </c>
      <c r="G2" s="6" t="s">
        <v>13</v>
      </c>
      <c r="H2" s="6" t="s">
        <v>14</v>
      </c>
      <c r="I2" s="7" t="s">
        <v>15</v>
      </c>
      <c r="J2" s="6" t="s">
        <v>16</v>
      </c>
      <c r="K2" s="7" t="s">
        <v>17</v>
      </c>
      <c r="L2" s="6" t="s">
        <v>18</v>
      </c>
      <c r="M2" s="7" t="s">
        <v>19</v>
      </c>
      <c r="N2" s="6" t="s">
        <v>20</v>
      </c>
      <c r="O2" s="7" t="s">
        <v>21</v>
      </c>
      <c r="P2" s="6" t="s">
        <v>22</v>
      </c>
      <c r="Q2" s="7" t="s">
        <v>22</v>
      </c>
      <c r="R2" s="6" t="s">
        <v>23</v>
      </c>
      <c r="S2" s="6" t="s">
        <v>24</v>
      </c>
      <c r="T2" s="20" t="s">
        <v>25</v>
      </c>
      <c r="U2" s="6" t="s">
        <v>26</v>
      </c>
      <c r="V2" s="20" t="s">
        <v>27</v>
      </c>
      <c r="W2" s="6" t="s">
        <v>28</v>
      </c>
      <c r="X2" s="20" t="s">
        <v>29</v>
      </c>
      <c r="Y2" s="6" t="s">
        <v>30</v>
      </c>
      <c r="Z2" s="20" t="s">
        <v>31</v>
      </c>
      <c r="AA2" s="6" t="s">
        <v>32</v>
      </c>
      <c r="AB2" s="21" t="s">
        <v>33</v>
      </c>
      <c r="AC2" s="6" t="s">
        <v>34</v>
      </c>
      <c r="AD2" s="20" t="s">
        <v>35</v>
      </c>
      <c r="AE2" s="6" t="s">
        <v>36</v>
      </c>
      <c r="AF2" s="6" t="s">
        <v>37</v>
      </c>
      <c r="AG2" s="7"/>
      <c r="AH2" s="7" t="s">
        <v>92</v>
      </c>
      <c r="AI2" s="7" t="s">
        <v>39</v>
      </c>
      <c r="AJ2" s="7" t="s">
        <v>40</v>
      </c>
      <c r="AK2" s="19" t="s">
        <v>41</v>
      </c>
    </row>
    <row r="3" spans="1:37" s="3" customFormat="1">
      <c r="A3" s="8">
        <v>1</v>
      </c>
      <c r="B3" s="8" t="s">
        <v>42</v>
      </c>
      <c r="C3" s="8">
        <v>2025</v>
      </c>
      <c r="D3" s="8">
        <v>1.52</v>
      </c>
      <c r="E3" s="8">
        <v>0.12</v>
      </c>
      <c r="F3" s="8"/>
      <c r="G3" s="8">
        <v>6.2</v>
      </c>
      <c r="H3" s="9">
        <v>5.170160240517277E-2</v>
      </c>
      <c r="I3" s="9"/>
      <c r="J3" s="10">
        <v>125.92</v>
      </c>
      <c r="K3" s="10"/>
      <c r="L3" s="8">
        <v>0</v>
      </c>
      <c r="M3" s="8"/>
      <c r="N3" s="8">
        <v>0</v>
      </c>
      <c r="O3" s="8"/>
      <c r="P3" s="11">
        <v>3.1499999999999972E-2</v>
      </c>
      <c r="Q3" s="11"/>
      <c r="R3" s="12">
        <v>6.3000000000000003E-4</v>
      </c>
      <c r="S3" s="13">
        <v>5</v>
      </c>
      <c r="T3" s="13"/>
      <c r="U3" s="13">
        <v>2.3333333333333335</v>
      </c>
      <c r="V3" s="13"/>
      <c r="W3" s="13">
        <v>2</v>
      </c>
      <c r="X3" s="13"/>
      <c r="Y3" s="13">
        <v>0.66666666666666663</v>
      </c>
      <c r="Z3" s="13"/>
      <c r="AA3" s="13">
        <v>51.499999999999993</v>
      </c>
      <c r="AB3" s="13"/>
      <c r="AC3" s="10">
        <v>102.33333333333333</v>
      </c>
      <c r="AD3" s="10"/>
      <c r="AE3" s="10">
        <v>32.777999999999999</v>
      </c>
      <c r="AF3" s="10">
        <v>8.5609999999999999</v>
      </c>
      <c r="AG3" s="10"/>
      <c r="AH3" s="10">
        <v>50</v>
      </c>
      <c r="AI3" s="10"/>
      <c r="AJ3" s="10"/>
      <c r="AK3" s="8"/>
    </row>
    <row r="4" spans="1:37" s="3" customFormat="1">
      <c r="A4" s="8">
        <v>2</v>
      </c>
      <c r="B4" s="8" t="s">
        <v>42</v>
      </c>
      <c r="C4" s="8">
        <v>2025</v>
      </c>
      <c r="D4" s="8">
        <v>1.26</v>
      </c>
      <c r="E4" s="8">
        <v>0.12</v>
      </c>
      <c r="F4" s="8"/>
      <c r="G4" s="8">
        <v>6.1</v>
      </c>
      <c r="H4" s="9">
        <v>5.746149602659878E-2</v>
      </c>
      <c r="I4" s="9"/>
      <c r="J4" s="10">
        <v>124.44333333333334</v>
      </c>
      <c r="K4" s="10"/>
      <c r="L4" s="8">
        <v>0</v>
      </c>
      <c r="M4" s="8"/>
      <c r="N4" s="8">
        <v>0</v>
      </c>
      <c r="O4" s="8"/>
      <c r="P4" s="11">
        <v>7.4999999999999956E-2</v>
      </c>
      <c r="Q4" s="11"/>
      <c r="R4" s="12">
        <v>1.5299999999999999E-3</v>
      </c>
      <c r="S4" s="13">
        <v>4.333333333333333</v>
      </c>
      <c r="T4" s="13"/>
      <c r="U4" s="13">
        <v>1</v>
      </c>
      <c r="V4" s="13"/>
      <c r="W4" s="13">
        <v>3</v>
      </c>
      <c r="X4" s="13"/>
      <c r="Y4" s="13">
        <v>0.33333333333333331</v>
      </c>
      <c r="Z4" s="13"/>
      <c r="AA4" s="13">
        <v>33</v>
      </c>
      <c r="AB4" s="13"/>
      <c r="AC4" s="10">
        <v>83.5</v>
      </c>
      <c r="AD4" s="10"/>
      <c r="AE4" s="10">
        <v>32.528000000000006</v>
      </c>
      <c r="AF4" s="10">
        <v>10.274000000000001</v>
      </c>
      <c r="AG4" s="10"/>
      <c r="AH4" s="10">
        <v>50</v>
      </c>
      <c r="AI4" s="10"/>
      <c r="AJ4" s="10"/>
      <c r="AK4" s="8"/>
    </row>
    <row r="5" spans="1:37" s="3" customFormat="1">
      <c r="A5" s="8">
        <v>3</v>
      </c>
      <c r="B5" s="8" t="s">
        <v>42</v>
      </c>
      <c r="C5" s="8">
        <v>2025</v>
      </c>
      <c r="D5" s="8">
        <v>1.36</v>
      </c>
      <c r="E5" s="8">
        <v>0.11</v>
      </c>
      <c r="F5" s="8"/>
      <c r="G5" s="8">
        <v>6.25</v>
      </c>
      <c r="H5" s="9">
        <v>6.5721193332475045E-2</v>
      </c>
      <c r="I5" s="9"/>
      <c r="J5" s="10">
        <v>131.91333333333333</v>
      </c>
      <c r="K5" s="10"/>
      <c r="L5" s="8">
        <v>2</v>
      </c>
      <c r="M5" s="8"/>
      <c r="N5" s="8">
        <v>0.32</v>
      </c>
      <c r="O5" s="8"/>
      <c r="P5" s="11">
        <v>0.1865</v>
      </c>
      <c r="Q5" s="11"/>
      <c r="R5" s="12">
        <v>6.0299999999999998E-3</v>
      </c>
      <c r="S5" s="13">
        <v>0.33333333333333331</v>
      </c>
      <c r="T5" s="13"/>
      <c r="U5" s="13">
        <v>0.33333333333333331</v>
      </c>
      <c r="V5" s="13"/>
      <c r="W5" s="13">
        <v>0</v>
      </c>
      <c r="X5" s="13"/>
      <c r="Y5" s="13">
        <v>0</v>
      </c>
      <c r="Z5" s="13"/>
      <c r="AA5" s="13">
        <v>58.5</v>
      </c>
      <c r="AB5" s="13"/>
      <c r="AC5" s="10">
        <v>172.33333333333334</v>
      </c>
      <c r="AD5" s="10"/>
      <c r="AE5" s="10">
        <v>39.453333333333298</v>
      </c>
      <c r="AF5" s="10">
        <v>11.068</v>
      </c>
      <c r="AG5" s="10"/>
      <c r="AH5" s="10">
        <v>50</v>
      </c>
      <c r="AI5" s="10"/>
      <c r="AJ5" s="10"/>
      <c r="AK5" s="8"/>
    </row>
    <row r="6" spans="1:37" s="3" customFormat="1">
      <c r="A6" s="8">
        <v>4</v>
      </c>
      <c r="B6" s="8" t="s">
        <v>42</v>
      </c>
      <c r="C6" s="8">
        <v>2025</v>
      </c>
      <c r="D6" s="8">
        <v>1.34</v>
      </c>
      <c r="E6" s="8">
        <v>0.12</v>
      </c>
      <c r="F6" s="8"/>
      <c r="G6" s="8">
        <v>6.2</v>
      </c>
      <c r="H6" s="9">
        <v>4.6389954656435223E-2</v>
      </c>
      <c r="I6" s="9"/>
      <c r="J6" s="10">
        <v>129.69</v>
      </c>
      <c r="K6" s="10"/>
      <c r="L6" s="8">
        <v>0</v>
      </c>
      <c r="M6" s="8"/>
      <c r="N6" s="8">
        <v>0</v>
      </c>
      <c r="O6" s="8"/>
      <c r="P6" s="11">
        <v>6.0999999999999943E-2</v>
      </c>
      <c r="Q6" s="11"/>
      <c r="R6" s="12">
        <v>1.89E-3</v>
      </c>
      <c r="S6" s="13">
        <v>0</v>
      </c>
      <c r="T6" s="13"/>
      <c r="U6" s="13">
        <v>0</v>
      </c>
      <c r="V6" s="13"/>
      <c r="W6" s="13">
        <v>0</v>
      </c>
      <c r="X6" s="13"/>
      <c r="Y6" s="13">
        <v>0</v>
      </c>
      <c r="Z6" s="13"/>
      <c r="AA6" s="13">
        <v>109</v>
      </c>
      <c r="AB6" s="13"/>
      <c r="AC6" s="10">
        <v>42.5</v>
      </c>
      <c r="AD6" s="10"/>
      <c r="AE6" s="10">
        <v>26.339500000000001</v>
      </c>
      <c r="AF6" s="10">
        <v>10.3035</v>
      </c>
      <c r="AG6" s="10"/>
      <c r="AH6" s="10">
        <v>50</v>
      </c>
      <c r="AI6" s="10"/>
      <c r="AJ6" s="10"/>
      <c r="AK6" s="8"/>
    </row>
    <row r="7" spans="1:37" s="3" customFormat="1">
      <c r="A7" s="8">
        <v>5</v>
      </c>
      <c r="B7" s="8" t="s">
        <v>42</v>
      </c>
      <c r="C7" s="8">
        <v>2025</v>
      </c>
      <c r="D7" s="8">
        <v>1.28</v>
      </c>
      <c r="E7" s="8">
        <v>0.11</v>
      </c>
      <c r="F7" s="8"/>
      <c r="G7" s="8">
        <v>6.2</v>
      </c>
      <c r="H7" s="9">
        <v>5.1868797026662618E-2</v>
      </c>
      <c r="I7" s="9"/>
      <c r="J7" s="10">
        <v>125.55500000000001</v>
      </c>
      <c r="K7" s="10"/>
      <c r="L7" s="8">
        <v>1</v>
      </c>
      <c r="M7" s="8"/>
      <c r="N7" s="8">
        <v>0.22</v>
      </c>
      <c r="O7" s="8"/>
      <c r="P7" s="11">
        <v>0.38049999999999995</v>
      </c>
      <c r="Q7" s="11"/>
      <c r="R7" s="12">
        <v>1.2999999999999999E-2</v>
      </c>
      <c r="S7" s="13">
        <v>9</v>
      </c>
      <c r="T7" s="13"/>
      <c r="U7" s="13">
        <v>8</v>
      </c>
      <c r="V7" s="13"/>
      <c r="W7" s="13">
        <v>0.33333333333333331</v>
      </c>
      <c r="X7" s="13"/>
      <c r="Y7" s="13">
        <v>0.66666666666666663</v>
      </c>
      <c r="Z7" s="13"/>
      <c r="AA7" s="13">
        <v>70.666666666666686</v>
      </c>
      <c r="AB7" s="13"/>
      <c r="AC7" s="10">
        <v>62.666666666666664</v>
      </c>
      <c r="AD7" s="10"/>
      <c r="AE7" s="10">
        <v>21.807999999999996</v>
      </c>
      <c r="AF7" s="10">
        <v>6.1633333333333331</v>
      </c>
      <c r="AG7" s="10"/>
      <c r="AH7" s="10">
        <v>50</v>
      </c>
      <c r="AI7" s="10"/>
      <c r="AJ7" s="10"/>
      <c r="AK7" s="8"/>
    </row>
    <row r="8" spans="1:37" s="3" customFormat="1">
      <c r="A8" s="8">
        <v>6</v>
      </c>
      <c r="B8" s="8" t="s">
        <v>43</v>
      </c>
      <c r="C8" s="8">
        <v>2025</v>
      </c>
      <c r="D8" s="8">
        <v>1.79</v>
      </c>
      <c r="E8" s="8">
        <v>0.15</v>
      </c>
      <c r="F8" s="8"/>
      <c r="G8" s="8">
        <v>4.71</v>
      </c>
      <c r="H8" s="9">
        <v>0.12188071364620238</v>
      </c>
      <c r="I8" s="9"/>
      <c r="J8" s="10">
        <v>97.1</v>
      </c>
      <c r="K8" s="10"/>
      <c r="L8" s="8">
        <v>7</v>
      </c>
      <c r="M8" s="8"/>
      <c r="N8" s="8">
        <v>1.96</v>
      </c>
      <c r="O8" s="8"/>
      <c r="P8" s="11">
        <v>0.24649999999999994</v>
      </c>
      <c r="Q8" s="11"/>
      <c r="R8" s="12">
        <v>8.8000000000000005E-3</v>
      </c>
      <c r="S8" s="13">
        <v>66</v>
      </c>
      <c r="T8" s="13"/>
      <c r="U8" s="13">
        <v>38.333333333333336</v>
      </c>
      <c r="V8" s="13"/>
      <c r="W8" s="13">
        <v>25.666666666666668</v>
      </c>
      <c r="X8" s="13"/>
      <c r="Y8" s="13">
        <v>2</v>
      </c>
      <c r="Z8" s="13"/>
      <c r="AA8" s="13">
        <v>162.66666666666666</v>
      </c>
      <c r="AB8" s="13"/>
      <c r="AC8" s="10">
        <v>196.66666666666666</v>
      </c>
      <c r="AD8" s="10"/>
      <c r="AE8" s="10">
        <v>75.713666666666668</v>
      </c>
      <c r="AF8" s="10">
        <v>10.089333333333334</v>
      </c>
      <c r="AG8" s="10"/>
      <c r="AH8" s="10">
        <v>50</v>
      </c>
      <c r="AI8" s="10"/>
      <c r="AJ8" s="10"/>
      <c r="AK8" s="8"/>
    </row>
    <row r="9" spans="1:37" s="3" customFormat="1">
      <c r="A9" s="8">
        <v>7</v>
      </c>
      <c r="B9" s="8" t="s">
        <v>43</v>
      </c>
      <c r="C9" s="8">
        <v>2025</v>
      </c>
      <c r="D9" s="8">
        <v>1.83</v>
      </c>
      <c r="E9" s="8">
        <v>0.16</v>
      </c>
      <c r="F9" s="8"/>
      <c r="G9" s="8">
        <v>5.51</v>
      </c>
      <c r="H9" s="9">
        <v>0.10836036120643874</v>
      </c>
      <c r="I9" s="9"/>
      <c r="J9" s="10">
        <v>122.68666666666667</v>
      </c>
      <c r="K9" s="10"/>
      <c r="L9" s="8">
        <v>13</v>
      </c>
      <c r="M9" s="8"/>
      <c r="N9" s="8">
        <v>1.74</v>
      </c>
      <c r="O9" s="8"/>
      <c r="P9" s="11">
        <v>0.14600000000000013</v>
      </c>
      <c r="Q9" s="11"/>
      <c r="R9" s="12">
        <v>5.3400000000000001E-3</v>
      </c>
      <c r="S9" s="13">
        <v>29</v>
      </c>
      <c r="T9" s="13"/>
      <c r="U9" s="13">
        <v>18</v>
      </c>
      <c r="V9" s="13"/>
      <c r="W9" s="13">
        <v>9.3333333333333339</v>
      </c>
      <c r="X9" s="13"/>
      <c r="Y9" s="13">
        <v>1.6666666666666667</v>
      </c>
      <c r="Z9" s="13"/>
      <c r="AA9" s="13">
        <v>153.75</v>
      </c>
      <c r="AB9" s="13"/>
      <c r="AC9" s="10">
        <v>220.25</v>
      </c>
      <c r="AD9" s="10"/>
      <c r="AE9" s="10">
        <v>59.065750000000001</v>
      </c>
      <c r="AF9" s="10">
        <v>12.58825</v>
      </c>
      <c r="AG9" s="10"/>
      <c r="AH9" s="10">
        <v>50</v>
      </c>
      <c r="AI9" s="10"/>
      <c r="AJ9" s="10"/>
      <c r="AK9" s="8"/>
    </row>
    <row r="10" spans="1:37" s="3" customFormat="1">
      <c r="A10" s="8">
        <v>8</v>
      </c>
      <c r="B10" s="8" t="s">
        <v>43</v>
      </c>
      <c r="C10" s="8">
        <v>2025</v>
      </c>
      <c r="D10" s="8">
        <v>1.5</v>
      </c>
      <c r="E10" s="8">
        <v>0.13</v>
      </c>
      <c r="F10" s="8"/>
      <c r="G10" s="8">
        <v>5.38</v>
      </c>
      <c r="H10" s="9">
        <v>0.11629427746722501</v>
      </c>
      <c r="I10" s="9"/>
      <c r="J10" s="10">
        <v>120.63666666666666</v>
      </c>
      <c r="K10" s="10"/>
      <c r="L10" s="8">
        <v>6</v>
      </c>
      <c r="M10" s="8"/>
      <c r="N10" s="8">
        <v>2.94</v>
      </c>
      <c r="O10" s="8"/>
      <c r="P10" s="11">
        <v>0.29849999999999999</v>
      </c>
      <c r="Q10" s="11"/>
      <c r="R10" s="12">
        <v>9.4500000000000001E-3</v>
      </c>
      <c r="S10" s="13">
        <v>68</v>
      </c>
      <c r="T10" s="13"/>
      <c r="U10" s="13">
        <v>10</v>
      </c>
      <c r="V10" s="13"/>
      <c r="W10" s="13">
        <v>54</v>
      </c>
      <c r="X10" s="13"/>
      <c r="Y10" s="13">
        <v>4</v>
      </c>
      <c r="Z10" s="13"/>
      <c r="AA10" s="13">
        <v>133.5</v>
      </c>
      <c r="AB10" s="13"/>
      <c r="AC10" s="10">
        <v>112</v>
      </c>
      <c r="AD10" s="10"/>
      <c r="AE10" s="10">
        <v>48.877499999999998</v>
      </c>
      <c r="AF10" s="10">
        <v>12.092500000000001</v>
      </c>
      <c r="AG10" s="10"/>
      <c r="AH10" s="10">
        <v>50</v>
      </c>
      <c r="AI10" s="10"/>
      <c r="AJ10" s="10"/>
      <c r="AK10" s="8"/>
    </row>
    <row r="11" spans="1:37" s="3" customFormat="1">
      <c r="A11" s="8">
        <v>9</v>
      </c>
      <c r="B11" s="8" t="s">
        <v>43</v>
      </c>
      <c r="C11" s="8">
        <v>2025</v>
      </c>
      <c r="D11" s="8">
        <v>1.96</v>
      </c>
      <c r="E11" s="8">
        <v>0.17</v>
      </c>
      <c r="F11" s="8"/>
      <c r="G11" s="8">
        <v>4.71</v>
      </c>
      <c r="H11" s="9">
        <v>0.15633440325674258</v>
      </c>
      <c r="I11" s="9"/>
      <c r="J11" s="10">
        <v>119.43333333333334</v>
      </c>
      <c r="K11" s="10"/>
      <c r="L11" s="8">
        <v>10</v>
      </c>
      <c r="M11" s="8"/>
      <c r="N11" s="8">
        <v>3.02</v>
      </c>
      <c r="O11" s="8"/>
      <c r="P11" s="11">
        <v>9.000000000000008E-2</v>
      </c>
      <c r="Q11" s="11"/>
      <c r="R11" s="12">
        <v>3.3700000000000002E-3</v>
      </c>
      <c r="S11" s="13">
        <v>42</v>
      </c>
      <c r="T11" s="13"/>
      <c r="U11" s="13">
        <v>20.333333333333332</v>
      </c>
      <c r="V11" s="13"/>
      <c r="W11" s="13">
        <v>20</v>
      </c>
      <c r="X11" s="13"/>
      <c r="Y11" s="13">
        <v>1.6666666666666667</v>
      </c>
      <c r="Z11" s="13"/>
      <c r="AA11" s="13">
        <v>181</v>
      </c>
      <c r="AB11" s="13"/>
      <c r="AC11" s="10">
        <v>147.5</v>
      </c>
      <c r="AD11" s="10"/>
      <c r="AE11" s="10">
        <v>65.393000000000001</v>
      </c>
      <c r="AF11" s="10">
        <v>18.207000000000001</v>
      </c>
      <c r="AG11" s="10"/>
      <c r="AH11" s="10">
        <v>50</v>
      </c>
      <c r="AI11" s="10"/>
      <c r="AJ11" s="10"/>
      <c r="AK11" s="8"/>
    </row>
    <row r="12" spans="1:37" s="3" customFormat="1">
      <c r="A12" s="8">
        <v>10</v>
      </c>
      <c r="B12" s="8" t="s">
        <v>43</v>
      </c>
      <c r="C12" s="8">
        <v>2025</v>
      </c>
      <c r="D12" s="8">
        <v>1.9</v>
      </c>
      <c r="E12" s="8">
        <v>0.16</v>
      </c>
      <c r="F12" s="8"/>
      <c r="G12" s="8">
        <v>4.7300000000000004</v>
      </c>
      <c r="H12" s="9">
        <v>0.13149379914290241</v>
      </c>
      <c r="I12" s="9"/>
      <c r="J12" s="10">
        <v>127.46666666666665</v>
      </c>
      <c r="K12" s="10"/>
      <c r="L12" s="8">
        <v>12</v>
      </c>
      <c r="M12" s="8"/>
      <c r="N12" s="8">
        <v>5.82</v>
      </c>
      <c r="O12" s="8"/>
      <c r="P12" s="11">
        <v>0.18450000000000011</v>
      </c>
      <c r="Q12" s="11"/>
      <c r="R12" s="12">
        <v>3.7499999999999999E-3</v>
      </c>
      <c r="S12" s="13">
        <v>51.333333333333336</v>
      </c>
      <c r="T12" s="13"/>
      <c r="U12" s="13">
        <v>12.333333333333334</v>
      </c>
      <c r="V12" s="13"/>
      <c r="W12" s="13">
        <v>37.666666666666664</v>
      </c>
      <c r="X12" s="13"/>
      <c r="Y12" s="13">
        <v>1.3333333333333333</v>
      </c>
      <c r="Z12" s="13"/>
      <c r="AA12" s="13">
        <v>163.33333333333337</v>
      </c>
      <c r="AB12" s="13"/>
      <c r="AC12" s="10">
        <v>336.66666666666669</v>
      </c>
      <c r="AD12" s="10"/>
      <c r="AE12" s="10">
        <v>53.199666666666666</v>
      </c>
      <c r="AF12" s="10">
        <v>15.343999999999999</v>
      </c>
      <c r="AG12" s="10"/>
      <c r="AH12" s="10">
        <v>50</v>
      </c>
      <c r="AI12" s="10"/>
      <c r="AJ12" s="10"/>
      <c r="AK12" s="8"/>
    </row>
    <row r="13" spans="1:37" s="3" customFormat="1">
      <c r="A13" s="3">
        <v>11</v>
      </c>
      <c r="B13" s="3" t="s">
        <v>44</v>
      </c>
      <c r="C13" s="3">
        <v>2025</v>
      </c>
      <c r="D13" s="3">
        <v>3.35</v>
      </c>
      <c r="E13" s="3">
        <v>0.27</v>
      </c>
      <c r="G13" s="3">
        <v>3.55</v>
      </c>
      <c r="H13" s="14">
        <v>0.15306201887328777</v>
      </c>
      <c r="I13" s="14"/>
      <c r="J13" s="15">
        <v>91.83</v>
      </c>
      <c r="K13" s="15"/>
      <c r="L13" s="3">
        <v>13</v>
      </c>
      <c r="N13" s="3">
        <v>1.54</v>
      </c>
      <c r="P13" s="16">
        <v>4.9499999999999877E-2</v>
      </c>
      <c r="Q13" s="16"/>
      <c r="R13" s="17">
        <v>4.3800000000000002E-3</v>
      </c>
      <c r="S13" s="18">
        <v>67.666666666666671</v>
      </c>
      <c r="T13" s="18"/>
      <c r="U13" s="18">
        <v>22</v>
      </c>
      <c r="V13" s="18"/>
      <c r="W13" s="18">
        <v>40.333333333333336</v>
      </c>
      <c r="X13" s="18"/>
      <c r="Y13" s="18">
        <v>5.333333333333333</v>
      </c>
      <c r="Z13" s="18"/>
      <c r="AA13" s="18">
        <v>169.20000000000002</v>
      </c>
      <c r="AB13" s="18"/>
      <c r="AC13" s="15">
        <v>182.2</v>
      </c>
      <c r="AD13" s="15"/>
      <c r="AE13" s="15">
        <v>100.422</v>
      </c>
      <c r="AF13" s="15">
        <v>18.593800000000002</v>
      </c>
      <c r="AG13" s="15"/>
      <c r="AH13" s="10">
        <v>50</v>
      </c>
      <c r="AI13" s="15"/>
      <c r="AJ13" s="15"/>
    </row>
    <row r="14" spans="1:37" s="3" customFormat="1">
      <c r="A14" s="8">
        <v>12</v>
      </c>
      <c r="B14" s="8" t="s">
        <v>44</v>
      </c>
      <c r="C14" s="8">
        <v>2025</v>
      </c>
      <c r="D14" s="8">
        <v>3.33</v>
      </c>
      <c r="E14" s="8">
        <v>0.26</v>
      </c>
      <c r="F14" s="8"/>
      <c r="G14" s="8">
        <v>3.54</v>
      </c>
      <c r="H14" s="9">
        <v>0.15680760687121015</v>
      </c>
      <c r="I14" s="9"/>
      <c r="J14" s="10">
        <v>81.913333333333341</v>
      </c>
      <c r="K14" s="10"/>
      <c r="L14" s="8">
        <v>4</v>
      </c>
      <c r="M14" s="8"/>
      <c r="N14" s="8">
        <v>1.0900000000000001</v>
      </c>
      <c r="O14" s="8"/>
      <c r="P14" s="11">
        <v>0.14649999999999996</v>
      </c>
      <c r="Q14" s="11"/>
      <c r="R14" s="12">
        <v>3.32E-3</v>
      </c>
      <c r="S14" s="13">
        <v>122.33333333333333</v>
      </c>
      <c r="T14" s="13"/>
      <c r="U14" s="13">
        <v>81.666666666666671</v>
      </c>
      <c r="V14" s="13"/>
      <c r="W14" s="13">
        <v>33</v>
      </c>
      <c r="X14" s="13"/>
      <c r="Y14" s="13">
        <v>7.666666666666667</v>
      </c>
      <c r="Z14" s="13"/>
      <c r="AA14" s="13">
        <v>170.5</v>
      </c>
      <c r="AB14" s="13"/>
      <c r="AC14" s="10">
        <v>27</v>
      </c>
      <c r="AD14" s="10"/>
      <c r="AE14" s="10">
        <v>72.88033333333334</v>
      </c>
      <c r="AF14" s="10">
        <v>18.944666666666667</v>
      </c>
      <c r="AG14" s="10"/>
      <c r="AH14" s="10">
        <v>50</v>
      </c>
      <c r="AI14" s="10"/>
      <c r="AJ14" s="10"/>
      <c r="AK14" s="8"/>
    </row>
    <row r="15" spans="1:37" s="3" customFormat="1">
      <c r="A15" s="8">
        <v>13</v>
      </c>
      <c r="B15" s="8" t="s">
        <v>44</v>
      </c>
      <c r="C15" s="8">
        <v>2025</v>
      </c>
      <c r="D15" s="8">
        <v>4.38</v>
      </c>
      <c r="E15" s="8">
        <v>0.33</v>
      </c>
      <c r="F15" s="8"/>
      <c r="G15" s="8">
        <v>3.51</v>
      </c>
      <c r="H15" s="9">
        <v>0.23684373097214709</v>
      </c>
      <c r="I15" s="9"/>
      <c r="J15" s="10">
        <v>85.663333333333341</v>
      </c>
      <c r="K15" s="10"/>
      <c r="L15" s="8">
        <v>9</v>
      </c>
      <c r="M15" s="8"/>
      <c r="N15" s="8">
        <v>0.97</v>
      </c>
      <c r="O15" s="8"/>
      <c r="P15" s="11">
        <v>4.3999999999999928E-2</v>
      </c>
      <c r="Q15" s="11"/>
      <c r="R15" s="12">
        <v>1.23E-3</v>
      </c>
      <c r="S15" s="13">
        <v>115.5</v>
      </c>
      <c r="T15" s="13"/>
      <c r="U15" s="13">
        <v>84</v>
      </c>
      <c r="V15" s="13"/>
      <c r="W15" s="13">
        <v>13.5</v>
      </c>
      <c r="X15" s="13"/>
      <c r="Y15" s="13">
        <v>18</v>
      </c>
      <c r="Z15" s="13"/>
      <c r="AA15" s="13">
        <v>231.5</v>
      </c>
      <c r="AB15" s="13"/>
      <c r="AC15" s="10">
        <v>140</v>
      </c>
      <c r="AD15" s="10"/>
      <c r="AE15" s="10">
        <v>110.742</v>
      </c>
      <c r="AF15" s="10">
        <v>25.585000000000001</v>
      </c>
      <c r="AG15" s="10"/>
      <c r="AH15" s="10">
        <v>50</v>
      </c>
      <c r="AI15" s="10"/>
      <c r="AJ15" s="10"/>
      <c r="AK15" s="8"/>
    </row>
    <row r="16" spans="1:37" s="3" customFormat="1">
      <c r="A16" s="8">
        <v>14</v>
      </c>
      <c r="B16" s="8" t="s">
        <v>44</v>
      </c>
      <c r="C16" s="8">
        <v>2025</v>
      </c>
      <c r="D16" s="8">
        <v>4.05</v>
      </c>
      <c r="E16" s="8">
        <v>0.32</v>
      </c>
      <c r="F16" s="8"/>
      <c r="G16" s="8">
        <v>3.47</v>
      </c>
      <c r="H16" s="9">
        <v>0.20300924642106569</v>
      </c>
      <c r="I16" s="9"/>
      <c r="J16" s="10">
        <v>95.570000000000007</v>
      </c>
      <c r="K16" s="10"/>
      <c r="L16" s="8">
        <v>0</v>
      </c>
      <c r="M16" s="8"/>
      <c r="N16" s="8">
        <v>0</v>
      </c>
      <c r="O16" s="8"/>
      <c r="P16" s="11">
        <v>4.049999999999998E-2</v>
      </c>
      <c r="Q16" s="11"/>
      <c r="R16" s="12">
        <v>3.7699999999999999E-3</v>
      </c>
      <c r="S16" s="13">
        <v>34</v>
      </c>
      <c r="T16" s="13"/>
      <c r="U16" s="13">
        <v>7.5</v>
      </c>
      <c r="V16" s="13"/>
      <c r="W16" s="13">
        <v>5</v>
      </c>
      <c r="X16" s="13"/>
      <c r="Y16" s="13">
        <v>4</v>
      </c>
      <c r="Z16" s="13"/>
      <c r="AA16" s="13">
        <v>222.33333333333334</v>
      </c>
      <c r="AB16" s="13"/>
      <c r="AC16" s="10">
        <v>31.333333333333332</v>
      </c>
      <c r="AD16" s="10"/>
      <c r="AE16" s="10">
        <v>100.29833333333333</v>
      </c>
      <c r="AF16" s="10">
        <v>34.152000000000001</v>
      </c>
      <c r="AG16" s="10"/>
      <c r="AH16" s="10">
        <v>50</v>
      </c>
      <c r="AI16" s="10"/>
      <c r="AJ16" s="10"/>
      <c r="AK16" s="8"/>
    </row>
    <row r="17" spans="1:37" s="3" customFormat="1">
      <c r="A17" s="8">
        <v>15</v>
      </c>
      <c r="B17" s="8" t="s">
        <v>44</v>
      </c>
      <c r="C17" s="8">
        <v>2025</v>
      </c>
      <c r="D17" s="8">
        <v>3.1</v>
      </c>
      <c r="E17" s="8">
        <v>0.25</v>
      </c>
      <c r="F17" s="8"/>
      <c r="G17" s="8">
        <v>3.5</v>
      </c>
      <c r="H17" s="9">
        <v>0.22380437855993457</v>
      </c>
      <c r="I17" s="9"/>
      <c r="J17" s="10">
        <v>70.775000000000006</v>
      </c>
      <c r="K17" s="10"/>
      <c r="L17" s="8">
        <v>6</v>
      </c>
      <c r="M17" s="8"/>
      <c r="N17" s="8">
        <v>0.65</v>
      </c>
      <c r="O17" s="8"/>
      <c r="P17" s="11">
        <v>0.21199999999999997</v>
      </c>
      <c r="Q17" s="11"/>
      <c r="R17" s="12">
        <v>8.8199999999999997E-3</v>
      </c>
      <c r="S17" s="13">
        <v>55.5</v>
      </c>
      <c r="T17" s="13"/>
      <c r="U17" s="13">
        <v>40.5</v>
      </c>
      <c r="V17" s="13"/>
      <c r="W17" s="13">
        <v>5.5</v>
      </c>
      <c r="X17" s="13"/>
      <c r="Y17" s="13">
        <v>9</v>
      </c>
      <c r="Z17" s="13"/>
      <c r="AA17" s="13">
        <v>130.00000000000003</v>
      </c>
      <c r="AB17" s="13"/>
      <c r="AC17" s="10">
        <v>119</v>
      </c>
      <c r="AD17" s="10"/>
      <c r="AE17" s="10">
        <v>100.23400000000001</v>
      </c>
      <c r="AF17" s="10">
        <v>14.298999999999999</v>
      </c>
      <c r="AG17" s="10"/>
      <c r="AH17" s="10">
        <v>50</v>
      </c>
      <c r="AI17" s="10"/>
      <c r="AJ17" s="10"/>
      <c r="AK17" s="8"/>
    </row>
    <row r="18" spans="1:37" s="3" customFormat="1">
      <c r="A18" s="3">
        <v>16</v>
      </c>
      <c r="B18" s="3" t="s">
        <v>43</v>
      </c>
      <c r="C18" s="3">
        <v>2024</v>
      </c>
      <c r="D18" s="3">
        <v>1.75</v>
      </c>
      <c r="E18" s="3">
        <v>0.17</v>
      </c>
      <c r="H18" s="14">
        <v>0.22456461961503188</v>
      </c>
      <c r="I18" s="14"/>
      <c r="K18" s="15"/>
      <c r="L18" s="3">
        <v>56</v>
      </c>
      <c r="N18" s="3">
        <v>10.6</v>
      </c>
      <c r="Q18" s="16"/>
      <c r="R18" s="17">
        <v>9.11E-3</v>
      </c>
      <c r="S18" s="3">
        <v>8</v>
      </c>
      <c r="T18" s="18"/>
      <c r="U18" s="3">
        <v>3</v>
      </c>
      <c r="V18" s="18"/>
      <c r="W18" s="3">
        <v>5</v>
      </c>
      <c r="X18" s="18"/>
      <c r="Y18" s="3">
        <v>0</v>
      </c>
      <c r="Z18" s="18"/>
      <c r="AA18" s="18">
        <v>169.23556565999999</v>
      </c>
      <c r="AB18" s="18"/>
      <c r="AC18" s="3">
        <v>84</v>
      </c>
      <c r="AD18" s="15"/>
      <c r="AE18" s="15">
        <v>65.224000000000004</v>
      </c>
      <c r="AF18" s="15">
        <v>13.547000000000001</v>
      </c>
      <c r="AG18" s="15"/>
      <c r="AH18" s="10">
        <v>50</v>
      </c>
      <c r="AI18" s="15"/>
      <c r="AJ18" s="15"/>
    </row>
    <row r="19" spans="1:37" s="3" customFormat="1">
      <c r="A19" s="3">
        <v>17</v>
      </c>
      <c r="B19" s="3" t="s">
        <v>43</v>
      </c>
      <c r="C19" s="3">
        <v>2024</v>
      </c>
      <c r="D19" s="3">
        <v>2.39</v>
      </c>
      <c r="E19" s="3">
        <v>0.21000000000000002</v>
      </c>
      <c r="H19" s="14">
        <v>0.15926157697121415</v>
      </c>
      <c r="I19" s="14"/>
      <c r="K19" s="15"/>
      <c r="L19" s="3">
        <v>54</v>
      </c>
      <c r="N19" s="3">
        <v>6.78</v>
      </c>
      <c r="Q19" s="16"/>
      <c r="R19" s="17">
        <v>8.8749999999999992E-3</v>
      </c>
      <c r="S19" s="3">
        <v>27</v>
      </c>
      <c r="T19" s="18"/>
      <c r="U19" s="3">
        <v>14</v>
      </c>
      <c r="V19" s="18"/>
      <c r="W19" s="3">
        <v>11</v>
      </c>
      <c r="X19" s="18"/>
      <c r="Y19" s="3">
        <v>2</v>
      </c>
      <c r="Z19" s="18"/>
      <c r="AA19" s="18">
        <v>120.30811786500001</v>
      </c>
      <c r="AB19" s="18"/>
      <c r="AC19" s="3">
        <v>174</v>
      </c>
      <c r="AD19" s="15"/>
      <c r="AE19" s="15">
        <v>82.552000000000007</v>
      </c>
      <c r="AF19" s="15">
        <v>16.373999999999999</v>
      </c>
      <c r="AG19" s="15"/>
      <c r="AH19" s="10">
        <v>50</v>
      </c>
      <c r="AI19" s="15"/>
      <c r="AJ19" s="15"/>
    </row>
    <row r="20" spans="1:37" s="3" customFormat="1">
      <c r="A20" s="3">
        <v>18</v>
      </c>
      <c r="B20" s="3" t="s">
        <v>43</v>
      </c>
      <c r="C20" s="3">
        <v>2024</v>
      </c>
      <c r="D20" s="3">
        <v>1.38</v>
      </c>
      <c r="E20" s="3">
        <v>0.14000000000000001</v>
      </c>
      <c r="H20" s="14">
        <v>0.13666870042708984</v>
      </c>
      <c r="I20" s="14"/>
      <c r="K20" s="15"/>
      <c r="L20" s="3">
        <v>14</v>
      </c>
      <c r="N20" s="3">
        <v>3.18</v>
      </c>
      <c r="Q20" s="16"/>
      <c r="R20" s="17">
        <v>1.7510000000000001E-2</v>
      </c>
      <c r="S20" s="3">
        <v>1</v>
      </c>
      <c r="T20" s="18"/>
      <c r="U20" s="3">
        <v>1</v>
      </c>
      <c r="V20" s="18"/>
      <c r="W20" s="3">
        <v>0</v>
      </c>
      <c r="X20" s="18"/>
      <c r="Y20" s="3">
        <v>0</v>
      </c>
      <c r="Z20" s="18"/>
      <c r="AA20" s="18">
        <v>60.190075625999988</v>
      </c>
      <c r="AB20" s="18"/>
      <c r="AC20" s="3">
        <v>272</v>
      </c>
      <c r="AD20" s="15"/>
      <c r="AE20" s="15">
        <v>55.939</v>
      </c>
      <c r="AF20" s="15">
        <v>6.7069999999999999</v>
      </c>
      <c r="AG20" s="15"/>
      <c r="AH20" s="10">
        <v>50</v>
      </c>
      <c r="AI20" s="15"/>
      <c r="AJ20" s="15"/>
    </row>
    <row r="21" spans="1:37" s="3" customFormat="1">
      <c r="A21" s="3">
        <v>19</v>
      </c>
      <c r="B21" s="3" t="s">
        <v>43</v>
      </c>
      <c r="C21" s="3">
        <v>2024</v>
      </c>
      <c r="D21" s="3">
        <v>1.7100000000000002</v>
      </c>
      <c r="E21" s="3">
        <v>0.16</v>
      </c>
      <c r="H21" s="14">
        <v>0.22867110688233452</v>
      </c>
      <c r="I21" s="14"/>
      <c r="K21" s="15"/>
      <c r="L21" s="3">
        <v>44</v>
      </c>
      <c r="N21" s="3">
        <v>8.76</v>
      </c>
      <c r="Q21" s="16"/>
      <c r="R21" s="17">
        <v>6.659E-3</v>
      </c>
      <c r="S21" s="3">
        <v>43</v>
      </c>
      <c r="T21" s="18"/>
      <c r="U21" s="3">
        <v>40</v>
      </c>
      <c r="V21" s="18"/>
      <c r="W21" s="3">
        <v>3</v>
      </c>
      <c r="X21" s="18"/>
      <c r="Y21" s="3">
        <v>0</v>
      </c>
      <c r="Z21" s="18"/>
      <c r="AA21" s="18">
        <v>145.35676359000001</v>
      </c>
      <c r="AB21" s="18"/>
      <c r="AC21" s="3">
        <v>153</v>
      </c>
      <c r="AD21" s="15"/>
      <c r="AE21" s="15">
        <v>81.656000000000006</v>
      </c>
      <c r="AF21" s="15">
        <v>16.376999999999999</v>
      </c>
      <c r="AG21" s="15"/>
      <c r="AH21" s="10">
        <v>50</v>
      </c>
      <c r="AI21" s="15"/>
      <c r="AJ21" s="15"/>
    </row>
    <row r="22" spans="1:37" s="3" customFormat="1">
      <c r="A22" s="3">
        <v>20</v>
      </c>
      <c r="B22" s="3" t="s">
        <v>44</v>
      </c>
      <c r="C22" s="3">
        <v>2024</v>
      </c>
      <c r="D22" s="3">
        <v>2.2000000000000002</v>
      </c>
      <c r="E22" s="3">
        <v>0.2</v>
      </c>
      <c r="H22" s="14">
        <v>0.28716216216216228</v>
      </c>
      <c r="I22" s="14"/>
      <c r="K22" s="15"/>
      <c r="L22" s="3">
        <v>4</v>
      </c>
      <c r="N22" s="3">
        <v>0.18</v>
      </c>
      <c r="Q22" s="16"/>
      <c r="R22" s="17">
        <v>1.2290000000000001E-2</v>
      </c>
      <c r="S22" s="3">
        <v>6</v>
      </c>
      <c r="T22" s="18"/>
      <c r="U22" s="3">
        <v>4</v>
      </c>
      <c r="V22" s="18"/>
      <c r="W22" s="3">
        <v>1</v>
      </c>
      <c r="X22" s="18"/>
      <c r="Y22" s="3">
        <v>1</v>
      </c>
      <c r="Z22" s="18"/>
      <c r="AA22" s="18">
        <v>65.536068674999996</v>
      </c>
      <c r="AB22" s="18"/>
      <c r="AC22" s="3">
        <v>35</v>
      </c>
      <c r="AD22" s="15"/>
      <c r="AE22" s="15">
        <v>66.64200000000001</v>
      </c>
      <c r="AF22" s="15">
        <v>16.660999999999998</v>
      </c>
      <c r="AG22" s="15"/>
      <c r="AH22" s="10">
        <v>50</v>
      </c>
      <c r="AI22" s="15"/>
      <c r="AJ22" s="15"/>
    </row>
    <row r="23" spans="1:37" s="3" customFormat="1">
      <c r="A23" s="3">
        <v>21</v>
      </c>
      <c r="B23" s="3" t="s">
        <v>44</v>
      </c>
      <c r="C23" s="3">
        <v>2024</v>
      </c>
      <c r="D23" s="3">
        <v>3.09</v>
      </c>
      <c r="E23" s="3">
        <v>0.3</v>
      </c>
      <c r="H23" s="14">
        <v>0.25470514429109176</v>
      </c>
      <c r="I23" s="14"/>
      <c r="K23" s="15"/>
      <c r="L23" s="3">
        <v>6</v>
      </c>
      <c r="N23" s="3">
        <v>2.76</v>
      </c>
      <c r="Q23" s="16"/>
      <c r="R23" s="17">
        <v>9.8989999999999998E-3</v>
      </c>
      <c r="S23" s="3">
        <v>18</v>
      </c>
      <c r="T23" s="18"/>
      <c r="U23" s="3">
        <v>0</v>
      </c>
      <c r="V23" s="18"/>
      <c r="W23" s="3">
        <v>10</v>
      </c>
      <c r="X23" s="18"/>
      <c r="Y23" s="3">
        <v>8</v>
      </c>
      <c r="Z23" s="18"/>
      <c r="AA23" s="18">
        <v>125.717500452</v>
      </c>
      <c r="AB23" s="18"/>
      <c r="AC23" s="3">
        <v>67</v>
      </c>
      <c r="AD23" s="15"/>
      <c r="AE23" s="15">
        <v>89.706000000000003</v>
      </c>
      <c r="AF23" s="15">
        <v>18.736000000000001</v>
      </c>
      <c r="AG23" s="15"/>
      <c r="AH23" s="10">
        <v>50</v>
      </c>
      <c r="AI23" s="15"/>
      <c r="AJ23" s="15"/>
    </row>
    <row r="24" spans="1:37" s="3" customFormat="1">
      <c r="A24" s="3">
        <v>22</v>
      </c>
      <c r="B24" s="3" t="s">
        <v>44</v>
      </c>
      <c r="C24" s="3">
        <v>2024</v>
      </c>
      <c r="D24" s="3">
        <v>3.3</v>
      </c>
      <c r="E24" s="3">
        <v>0.3</v>
      </c>
      <c r="H24" s="14">
        <v>0.30668841761827048</v>
      </c>
      <c r="I24" s="14"/>
      <c r="K24" s="15"/>
      <c r="L24" s="3">
        <v>0</v>
      </c>
      <c r="N24" s="3">
        <v>0</v>
      </c>
      <c r="Q24" s="16"/>
      <c r="R24" s="17">
        <v>1.5350000000000001E-2</v>
      </c>
      <c r="S24" s="3">
        <v>5</v>
      </c>
      <c r="T24" s="18"/>
      <c r="U24" s="3">
        <v>0</v>
      </c>
      <c r="V24" s="18"/>
      <c r="W24" s="3">
        <v>4</v>
      </c>
      <c r="X24" s="18"/>
      <c r="Y24" s="3">
        <v>1</v>
      </c>
      <c r="Z24" s="18"/>
      <c r="AA24" s="18">
        <v>124.10635293300001</v>
      </c>
      <c r="AB24" s="18"/>
      <c r="AC24" s="3">
        <v>11</v>
      </c>
      <c r="AD24" s="15"/>
      <c r="AE24" s="15">
        <v>92.912000000000006</v>
      </c>
      <c r="AF24" s="15">
        <v>23.727999999999998</v>
      </c>
      <c r="AG24" s="15"/>
      <c r="AH24" s="10">
        <v>50</v>
      </c>
      <c r="AI24" s="15"/>
      <c r="AJ24" s="15"/>
    </row>
    <row r="25" spans="1:37" s="3" customFormat="1">
      <c r="A25" s="3">
        <v>23</v>
      </c>
      <c r="B25" s="3" t="s">
        <v>44</v>
      </c>
      <c r="C25" s="3">
        <v>2024</v>
      </c>
      <c r="D25" s="3">
        <v>2.93</v>
      </c>
      <c r="E25" s="3">
        <v>0.25</v>
      </c>
      <c r="H25" s="14">
        <v>0.20452488687782805</v>
      </c>
      <c r="I25" s="14"/>
      <c r="K25" s="15"/>
      <c r="L25" s="3">
        <v>6</v>
      </c>
      <c r="N25" s="3">
        <v>1.08</v>
      </c>
      <c r="Q25" s="16"/>
      <c r="R25" s="17">
        <v>6.8900000000000003E-3</v>
      </c>
      <c r="S25" s="3">
        <v>14</v>
      </c>
      <c r="T25" s="18"/>
      <c r="U25" s="3">
        <v>6</v>
      </c>
      <c r="V25" s="18"/>
      <c r="W25" s="3">
        <v>8</v>
      </c>
      <c r="X25" s="18"/>
      <c r="Y25" s="3">
        <v>0</v>
      </c>
      <c r="Z25" s="18"/>
      <c r="AA25" s="18">
        <v>145.08047818800003</v>
      </c>
      <c r="AB25" s="18"/>
      <c r="AC25" s="3">
        <v>39</v>
      </c>
      <c r="AD25" s="15"/>
      <c r="AE25" s="15">
        <v>103.84400000000001</v>
      </c>
      <c r="AF25" s="15">
        <v>22.849</v>
      </c>
      <c r="AG25" s="15"/>
      <c r="AH25" s="10">
        <v>50</v>
      </c>
      <c r="AI25" s="15"/>
      <c r="AJ25" s="15"/>
    </row>
    <row r="26" spans="1:37" ht="50.45" customHeight="1">
      <c r="D26" s="23"/>
      <c r="E26" s="23"/>
      <c r="J26" s="6"/>
      <c r="K26" s="6"/>
      <c r="L26" s="24"/>
      <c r="M26" s="24"/>
      <c r="N26" s="24"/>
      <c r="O26" s="4"/>
      <c r="S26" s="24"/>
      <c r="T26" s="24"/>
      <c r="U26" s="24"/>
      <c r="V26" s="24"/>
      <c r="W26" s="24"/>
      <c r="X26" s="24"/>
      <c r="Y26" s="24"/>
      <c r="Z26" s="4"/>
      <c r="AA26" s="5"/>
      <c r="AB26" s="5"/>
      <c r="AC26" s="6"/>
      <c r="AD26" s="6"/>
      <c r="AE26" s="23"/>
      <c r="AF26" s="23"/>
      <c r="AG26" s="5"/>
      <c r="AH26" s="5"/>
      <c r="AI26" s="5"/>
      <c r="AJ26" s="5"/>
    </row>
  </sheetData>
  <mergeCells count="12">
    <mergeCell ref="S1:Y1"/>
    <mergeCell ref="AE1:AJ1"/>
    <mergeCell ref="D26:E26"/>
    <mergeCell ref="L26:N26"/>
    <mergeCell ref="S26:Y26"/>
    <mergeCell ref="AE26:AF26"/>
    <mergeCell ref="A1:A2"/>
    <mergeCell ref="B1:B2"/>
    <mergeCell ref="C1:C2"/>
    <mergeCell ref="D1:K1"/>
    <mergeCell ref="L1:N1"/>
    <mergeCell ref="P1:R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Junwei Hu</dc:creator>
  <cp:keywords/>
  <dc:description/>
  <cp:lastModifiedBy>Colby Spencer</cp:lastModifiedBy>
  <cp:revision/>
  <dcterms:created xsi:type="dcterms:W3CDTF">2015-06-05T18:17:20Z</dcterms:created>
  <dcterms:modified xsi:type="dcterms:W3CDTF">2025-12-13T13:16:34Z</dcterms:modified>
  <cp:category/>
  <cp:contentStatus/>
</cp:coreProperties>
</file>